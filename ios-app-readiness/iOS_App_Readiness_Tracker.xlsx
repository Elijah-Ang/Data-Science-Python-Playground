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56d960f9e046d5" /></Relationships>
</file>

<file path=xl/workbook.xml><?xml version="1.0" encoding="utf-8"?>
<x:workbook xmlns:x="http://schemas.openxmlformats.org/spreadsheetml/2006/main">
  <x:sheets>
    <x:sheet xmlns:r="http://schemas.openxmlformats.org/officeDocument/2006/relationships" name="Dashboard" sheetId="1" r:id="R46d254428c444c46"/>
    <x:sheet xmlns:r="http://schemas.openxmlformats.org/officeDocument/2006/relationships" name="Task Register" sheetId="2" r:id="Rd4462263ac754f96"/>
    <x:sheet xmlns:r="http://schemas.openxmlformats.org/officeDocument/2006/relationships" name="Release Checklist" sheetId="3" r:id="Rbc47ce709bb8469e"/>
    <x:sheet xmlns:r="http://schemas.openxmlformats.org/officeDocument/2006/relationships" name="File Map" sheetId="4" r:id="R26a1146e96244f9a"/>
    <x:sheet xmlns:r="http://schemas.openxmlformats.org/officeDocument/2006/relationships" name="Sources" sheetId="5" r:id="Rb7f58172d46c431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1"/>
      <x:color rgb="FFFFFFFF"/>
      <x:name val="Carlito"/>
    </x:font>
    <x:font>
      <x:sz val="11"/>
      <x:color rgb="FF1F2937"/>
      <x:name val="Carlito"/>
    </x:font>
    <x:font>
      <x:b/>
      <x:sz val="11"/>
      <x:color rgb="FF2D5B9E"/>
      <x:name val="Carlito"/>
    </x:font>
    <x:font>
      <x:sz val="11"/>
      <x:color rgb="FF5B6472"/>
      <x:name val="Carlito"/>
    </x:font>
    <x:font>
      <x:b/>
      <x:sz val="11"/>
      <x:color rgb="FF17223B"/>
      <x:name val="Carlito"/>
    </x:font>
  </x:fonts>
  <x:fills count="7">
    <x:fill>
      <x:patternFill patternType="none"/>
    </x:fill>
    <x:fill>
      <x:patternFill patternType="gray125"/>
    </x:fill>
    <x:fill>
      <x:patternFill patternType="solid">
        <x:fgColor rgb="FF2D5B9E"/>
      </x:patternFill>
    </x:fill>
    <x:fill>
      <x:patternFill patternType="solid">
        <x:fgColor rgb="FF17223B"/>
      </x:patternFill>
    </x:fill>
    <x:fill>
      <x:patternFill patternType="solid">
        <x:fgColor rgb="FFDCEFFE"/>
      </x:patternFill>
    </x:fill>
    <x:fill>
      <x:patternFill patternType="solid">
        <x:fgColor rgb="FFFFF8E8"/>
      </x:patternFill>
    </x:fill>
    <x:fill>
      <x:patternFill patternType="solid">
        <x:fgColor rgb="FFF4B942"/>
      </x:patternFill>
    </x:fill>
  </x:fills>
  <x:borders count="15">
    <x:border/>
    <x:border>
      <x:left style="thin">
        <x:color rgb="FF2D5B9E"/>
      </x:left>
      <x:top style="thin">
        <x:color rgb="FF2D5B9E"/>
      </x:top>
      <x:bottom style="thin">
        <x:color rgb="FF2D5B9E"/>
      </x:bottom>
    </x:border>
    <x:border>
      <x:top style="thin">
        <x:color rgb="FF2D5B9E"/>
      </x:top>
      <x:bottom style="thin">
        <x:color rgb="FF2D5B9E"/>
      </x:bottom>
    </x:border>
    <x:border>
      <x:right style="thin">
        <x:color rgb="FF2D5B9E"/>
      </x:right>
      <x:top style="thin">
        <x:color rgb="FF2D5B9E"/>
      </x:top>
      <x:bottom style="thin">
        <x:color rgb="FF2D5B9E"/>
      </x:bottom>
    </x:border>
    <x:border>
      <x:bottom style="thin">
        <x:color rgb="FFD7DEE8"/>
      </x:bottom>
    </x:border>
    <x:border>
      <x:top style="thin">
        <x:color rgb="FFD7DEE8"/>
      </x:top>
      <x:bottom style="thin">
        <x:color rgb="FFD7DEE8"/>
      </x:bottom>
    </x:border>
    <x:border>
      <x:left style="thin">
        <x:color rgb="FFD7DEE8"/>
      </x:left>
      <x:top style="thin">
        <x:color rgb="FFD7DEE8"/>
      </x:top>
      <x:bottom style="thin">
        <x:color rgb="FFD7DEE8"/>
      </x:bottom>
    </x:border>
    <x:border>
      <x:right style="thin">
        <x:color rgb="FFD7DEE8"/>
      </x:right>
      <x:top style="thin">
        <x:color rgb="FFD7DEE8"/>
      </x:top>
      <x:bottom style="thin">
        <x:color rgb="FFD7DEE8"/>
      </x:bottom>
    </x:border>
    <x:border>
      <x:left style="thin">
        <x:color rgb="FFD7DEE8"/>
      </x:left>
      <x:top style="thin">
        <x:color rgb="FFD7DEE8"/>
      </x:top>
    </x:border>
    <x:border>
      <x:top style="thin">
        <x:color rgb="FFD7DEE8"/>
      </x:top>
    </x:border>
    <x:border>
      <x:right style="thin">
        <x:color rgb="FFD7DEE8"/>
      </x:right>
      <x:top style="thin">
        <x:color rgb="FFD7DEE8"/>
      </x:top>
    </x:border>
    <x:border>
      <x:left style="thin">
        <x:color rgb="FFD7DEE8"/>
      </x:left>
    </x:border>
    <x:border>
      <x:right style="thin">
        <x:color rgb="FFD7DEE8"/>
      </x:right>
    </x:border>
    <x:border>
      <x:left style="thin">
        <x:color rgb="FFD7DEE8"/>
      </x:left>
      <x:bottom style="thin">
        <x:color rgb="FFD7DEE8"/>
      </x:bottom>
    </x:border>
    <x:border>
      <x:right style="thin">
        <x:color rgb="FFD7DEE8"/>
      </x:right>
      <x:bottom style="thin">
        <x:color rgb="FFD7DEE8"/>
      </x:bottom>
    </x:border>
  </x:borders>
  <x:cellStyleXfs count="1">
    <x:xf numFmtId="0" fontId="0" fillId="0" borderId="0"/>
  </x:cellStyleXfs>
  <x:cellXfs count="8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3" fillId="0" borderId="4" xfId="0" applyNumberFormat="1" applyFont="1" applyFill="1" applyBorder="1" applyAlignment="1">
      <x:alignment vertical="center" wrapText="1"/>
    </x:xf>
    <x:xf numFmtId="0" fontId="3" fillId="0" borderId="5" xfId="0" applyNumberFormat="1" applyFont="1" applyFill="1" applyBorder="1" applyAlignment="1">
      <x:alignment vertical="center" wrapText="1"/>
    </x:xf>
    <x:xf numFmtId="0" fontId="3" fillId="0" borderId="4" xfId="0" applyNumberFormat="1" applyFont="1" applyFill="1" applyBorder="1" applyAlignment="1">
      <x:alignment horizontal="center" vertical="center" wrapText="1"/>
    </x:xf>
    <x:xf numFmtId="0" fontId="3" fillId="0" borderId="5" xfId="0" applyNumberFormat="1" applyFont="1" applyFill="1" applyBorder="1" applyAlignment="1">
      <x:alignment horizontal="center" vertical="center" wrapText="1"/>
    </x:xf>
    <x:xf numFmtId="0" fontId="2" fillId="0" borderId="4" xfId="0" applyNumberFormat="1" applyFont="1" applyFill="1" applyBorder="1" applyAlignment="1">
      <x:alignment horizontal="center" vertical="center" wrapText="1"/>
    </x:xf>
    <x:xf numFmtId="0" fontId="2" fillId="0" borderId="5" xfId="0" applyNumberFormat="1" applyFont="1" applyFill="1" applyBorder="1" applyAlignment="1">
      <x:alignment horizontal="center" vertical="center" wrapText="1"/>
    </x:xf>
    <x:xf numFmtId="200" fontId="2" fillId="0" borderId="4"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left"/>
    </x:xf>
    <x:xf numFmtId="0" fontId="1" fillId="3"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6" xfId="0" applyNumberFormat="1" applyFont="1" applyFill="1" applyBorder="1" applyAlignment="1">
      <x:alignment horizontal="center"/>
    </x:xf>
    <x:xf numFmtId="0" fontId="5" fillId="5" borderId="7" xfId="0" applyNumberFormat="1" applyFont="1" applyFill="1" applyBorder="1" applyAlignment="1">
      <x:alignment horizontal="center"/>
    </x:xf>
    <x:xf numFmtId="0" fontId="5" fillId="5" borderId="6" xfId="0" applyNumberFormat="1" applyFont="1" applyFill="1" applyBorder="1" applyAlignment="1">
      <x:alignment horizontal="center" vertical="center"/>
    </x:xf>
    <x:xf numFmtId="0" fontId="5" fillId="5" borderId="7"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2" fillId="5" borderId="0" xfId="0" applyNumberFormat="1" applyFont="1" applyFill="1" applyBorder="1"/>
    <x:xf numFmtId="0" fontId="2" fillId="5" borderId="8" xfId="0" applyNumberFormat="1" applyFont="1" applyFill="1" applyBorder="1"/>
    <x:xf numFmtId="0" fontId="2" fillId="5" borderId="9" xfId="0" applyNumberFormat="1" applyFont="1" applyFill="1" applyBorder="1"/>
    <x:xf numFmtId="0" fontId="2" fillId="5" borderId="10" xfId="0" applyNumberFormat="1" applyFont="1" applyFill="1" applyBorder="1"/>
    <x:xf numFmtId="0" fontId="2" fillId="5" borderId="11" xfId="0" applyNumberFormat="1" applyFont="1" applyFill="1" applyBorder="1"/>
    <x:xf numFmtId="0" fontId="2" fillId="5" borderId="12" xfId="0" applyNumberFormat="1" applyFont="1" applyFill="1" applyBorder="1"/>
    <x:xf numFmtId="0" fontId="2" fillId="5" borderId="13" xfId="0" applyNumberFormat="1" applyFont="1" applyFill="1" applyBorder="1"/>
    <x:xf numFmtId="0" fontId="2" fillId="5" borderId="4" xfId="0" applyNumberFormat="1" applyFont="1" applyFill="1" applyBorder="1"/>
    <x:xf numFmtId="0" fontId="2" fillId="5" borderId="14" xfId="0" applyNumberFormat="1" applyFont="1" applyFill="1" applyBorder="1"/>
    <x:xf numFmtId="0" fontId="2" fillId="5" borderId="8" xfId="0" applyNumberFormat="1" applyFont="1" applyFill="1" applyBorder="1" applyAlignment="1">
      <x:alignment wrapText="1"/>
    </x:xf>
    <x:xf numFmtId="0" fontId="2" fillId="5" borderId="9" xfId="0" applyNumberFormat="1" applyFont="1" applyFill="1" applyBorder="1" applyAlignment="1">
      <x:alignment wrapText="1"/>
    </x:xf>
    <x:xf numFmtId="0" fontId="2" fillId="5" borderId="10" xfId="0" applyNumberFormat="1" applyFont="1" applyFill="1" applyBorder="1" applyAlignment="1">
      <x:alignment wrapText="1"/>
    </x:xf>
    <x:xf numFmtId="0" fontId="2" fillId="5" borderId="11"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12" xfId="0" applyNumberFormat="1" applyFont="1" applyFill="1" applyBorder="1" applyAlignment="1">
      <x:alignment wrapText="1"/>
    </x:xf>
    <x:xf numFmtId="0" fontId="2" fillId="5" borderId="13" xfId="0" applyNumberFormat="1" applyFont="1" applyFill="1" applyBorder="1" applyAlignment="1">
      <x:alignment wrapText="1"/>
    </x:xf>
    <x:xf numFmtId="0" fontId="2" fillId="5" borderId="4" xfId="0" applyNumberFormat="1" applyFont="1" applyFill="1" applyBorder="1" applyAlignment="1">
      <x:alignment wrapText="1"/>
    </x:xf>
    <x:xf numFmtId="0" fontId="2" fillId="5" borderId="14" xfId="0" applyNumberFormat="1" applyFont="1" applyFill="1" applyBorder="1" applyAlignment="1">
      <x:alignment wrapText="1"/>
    </x:xf>
    <x:xf numFmtId="0" fontId="2" fillId="5" borderId="8" xfId="0" applyNumberFormat="1" applyFont="1" applyFill="1" applyBorder="1" applyAlignment="1">
      <x:alignment vertical="center" wrapText="1"/>
    </x:xf>
    <x:xf numFmtId="0" fontId="2" fillId="5" borderId="9" xfId="0" applyNumberFormat="1" applyFont="1" applyFill="1" applyBorder="1" applyAlignment="1">
      <x:alignment vertical="center" wrapText="1"/>
    </x:xf>
    <x:xf numFmtId="0" fontId="2" fillId="5" borderId="10" xfId="0" applyNumberFormat="1" applyFont="1" applyFill="1" applyBorder="1" applyAlignment="1">
      <x:alignment vertical="center" wrapText="1"/>
    </x:xf>
    <x:xf numFmtId="0" fontId="2" fillId="5" borderId="11"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5" borderId="12" xfId="0" applyNumberFormat="1" applyFont="1" applyFill="1" applyBorder="1" applyAlignment="1">
      <x:alignment vertical="center" wrapText="1"/>
    </x:xf>
    <x:xf numFmtId="0" fontId="2" fillId="5" borderId="13" xfId="0" applyNumberFormat="1" applyFont="1" applyFill="1" applyBorder="1" applyAlignment="1">
      <x:alignment vertical="center" wrapText="1"/>
    </x:xf>
    <x:xf numFmtId="0" fontId="2" fillId="5" borderId="4" xfId="0" applyNumberFormat="1" applyFont="1" applyFill="1" applyBorder="1" applyAlignment="1">
      <x:alignment vertical="center" wrapText="1"/>
    </x:xf>
    <x:xf numFmtId="0" fontId="2" fillId="5" borderId="14"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5" fillId="5" borderId="5" xfId="0" applyNumberFormat="1" applyFont="1" applyFill="1" applyBorder="1"/>
    <x:xf numFmtId="0" fontId="5" fillId="5" borderId="6" xfId="0" applyNumberFormat="1" applyFont="1" applyFill="1" applyBorder="1" applyAlignment="1">
      <x:alignment vertical="center"/>
    </x:xf>
    <x:xf numFmtId="0" fontId="5" fillId="5" borderId="5" xfId="0" applyNumberFormat="1" applyFont="1" applyFill="1" applyBorder="1" applyAlignment="1">
      <x:alignment vertical="center"/>
    </x:xf>
    <x:xf numFmtId="0" fontId="5" fillId="5" borderId="7" xfId="0" applyNumberFormat="1" applyFont="1" applyFill="1" applyBorder="1" applyAlignment="1">
      <x:alignment vertical="center"/>
    </x:xf>
  </x:cellXfs>
  <x:cellStyles count="1">
    <x:cellStyle name="Normal" xfId="0"/>
  </x:cellStyles>
  <x:dxfs count="10">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c8190fc11f419c" /><Relationship Type="http://schemas.openxmlformats.org/officeDocument/2006/relationships/theme" Target="/xl/theme/theme1.xml" Id="Rd674e8fbd1f149e9" /><Relationship Type="http://schemas.openxmlformats.org/officeDocument/2006/relationships/sharedStrings" Target="/xl/sharedStrings.xml" Id="R8956166709e14852" /><Relationship Type="http://schemas.openxmlformats.org/officeDocument/2006/relationships/worksheet" Target="/xl/worksheets/sheet1.xml" Id="R46d254428c444c46" /><Relationship Type="http://schemas.openxmlformats.org/officeDocument/2006/relationships/worksheet" Target="/xl/worksheets/sheet2.xml" Id="Rd4462263ac754f96" /><Relationship Type="http://schemas.openxmlformats.org/officeDocument/2006/relationships/worksheet" Target="/xl/worksheets/sheet3.xml" Id="Rbc47ce709bb8469e" /><Relationship Type="http://schemas.openxmlformats.org/officeDocument/2006/relationships/worksheet" Target="/xl/worksheets/sheet4.xml" Id="R26a1146e96244f9a" /><Relationship Type="http://schemas.openxmlformats.org/officeDocument/2006/relationships/worksheet" Target="/xl/worksheets/sheet5.xml" Id="Rb7f58172d46c4318" /></Relationships>
</file>

<file path=xl/tables/table1.xml><?xml version="1.0" encoding="utf-8"?>
<x:table xmlns:x="http://schemas.openxmlformats.org/spreadsheetml/2006/main" id="1" name="TaskRegisterTable" displayName="TaskRegisterTable" ref="A4:L61" headerRowCount="1" totalsRowCount="0" totalsRowShown="0">
  <x:autoFilter ref="A4:L61"/>
  <x:tableColumns count="12">
    <x:tableColumn id="1" name="ID"/>
    <x:tableColumn id="2" name="Phase"/>
    <x:tableColumn id="3" name="Task"/>
    <x:tableColumn id="4" name="Description / acceptance"/>
    <x:tableColumn id="5" name="Priority"/>
    <x:tableColumn id="6" name="Status"/>
    <x:tableColumn id="7" name="Dependency"/>
    <x:tableColumn id="8" name="Owner"/>
    <x:tableColumn id="9" name="Evidence / file"/>
    <x:tableColumn id="10" name="Source ref"/>
    <x:tableColumn id="11" name="Notes / next action"/>
    <x:tableColumn id="12" name="Updated"/>
  </x:tableColumns>
  <x:tableStyleInfo name="TableStyleMedium2" showFirstColumn="0" showLastColumn="0" showRowStripes="1" showColumnStripes="0"/>
</x:table>
</file>

<file path=xl/tables/table2.xml><?xml version="1.0" encoding="utf-8"?>
<x:table xmlns:x="http://schemas.openxmlformats.org/spreadsheetml/2006/main" id="2" name="ReleaseChecklistTable" displayName="ReleaseChecklistTable" ref="A6:E42" headerRowCount="1" totalsRowCount="0" totalsRowShown="0">
  <x:autoFilter ref="A6:E42"/>
  <x:tableColumns count="5">
    <x:tableColumn id="1" name="ID"/>
    <x:tableColumn id="2" name="Phase"/>
    <x:tableColumn id="3" name="Requirement"/>
    <x:tableColumn id="4" name="Status"/>
    <x:tableColumn id="5" name="Evidence / notes"/>
  </x:tableColumns>
  <x:tableStyleInfo name="TableStyleMedium2" showFirstColumn="0" showLastColumn="0" showRowStripes="1" showColumnStripes="0"/>
</x:table>
</file>

<file path=xl/tables/table3.xml><?xml version="1.0" encoding="utf-8"?>
<x:table xmlns:x="http://schemas.openxmlformats.org/spreadsheetml/2006/main" id="5" name="FileMapTable" displayName="FileMapTable" ref="A4:E26" headerRowCount="1" totalsRowCount="0" totalsRowShown="0">
  <x:autoFilter ref="A4:E26"/>
  <x:tableColumns count="5">
    <x:tableColumn id="1" name="File"/>
    <x:tableColumn id="2" name="Type"/>
    <x:tableColumn id="3" name="Purpose"/>
    <x:tableColumn id="4" name="Related task"/>
    <x:tableColumn id="5" name="Status"/>
  </x:tableColumns>
  <x:tableStyleInfo name="TableStyleMedium2" showFirstColumn="0" showLastColumn="0" showRowStripes="1" showColumnStripes="0"/>
</x:table>
</file>

<file path=xl/tables/table4.xml><?xml version="1.0" encoding="utf-8"?>
<x:table xmlns:x="http://schemas.openxmlformats.org/spreadsheetml/2006/main" id="4" name="SourcesTable" displayName="SourcesTable" ref="A4:E25" headerRowCount="1" totalsRowCount="0" totalsRowShown="0">
  <x:autoFilter ref="A4:E25"/>
  <x:tableColumns count="5">
    <x:tableColumn id="1" name="Ref"/>
    <x:tableColumn id="2" name="Source / file"/>
    <x:tableColumn id="3" name="URL / path"/>
    <x:tableColumn id="4" name="Used for"/>
    <x:tableColumn id="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23da99ccd6439e" /></Relationships>
</file>

<file path=xl/worksheets/_rels/sheet3.xml.rels>&#65279;<?xml version="1.0" encoding="utf-8"?><Relationships xmlns="http://schemas.openxmlformats.org/package/2006/relationships"><Relationship Type="http://schemas.openxmlformats.org/officeDocument/2006/relationships/table" Target="/xl/tables/table2.xml" Id="R701c0d569e474533" /></Relationships>
</file>

<file path=xl/worksheets/_rels/sheet4.xml.rels>&#65279;<?xml version="1.0" encoding="utf-8"?><Relationships xmlns="http://schemas.openxmlformats.org/package/2006/relationships"><Relationship Type="http://schemas.openxmlformats.org/officeDocument/2006/relationships/table" Target="/xl/tables/table3.xml" Id="R287892895aa14c3f" /></Relationships>
</file>

<file path=xl/worksheets/_rels/sheet5.xml.rels>&#65279;<?xml version="1.0" encoding="utf-8"?><Relationships xmlns="http://schemas.openxmlformats.org/package/2006/relationships"><Relationship Type="http://schemas.openxmlformats.org/officeDocument/2006/relationships/table" Target="/xl/tables/table4.xml" Id="R00e9075135c54f18"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9" hidden="0" customWidth="1"/>
    <x:col min="3" max="3" width="34" hidden="0" customWidth="1"/>
    <x:col min="4" max="4" width="25" hidden="0" customWidth="1"/>
    <x:col min="5" max="5" width="17" hidden="0" customWidth="1"/>
    <x:col min="6" max="6" width="24" hidden="0" customWidth="1"/>
    <x:col min="7" max="7" width="21" hidden="0" customWidth="1"/>
    <x:col min="8" max="8" width="29" hidden="0" customWidth="1"/>
  </x:cols>
  <x:sheetData>
    <x:row r="1" ht="30" customHeight="1">
      <x:c r="A1" s="33" t="str">
        <x:v>iOS App Readiness Tracker</x:v>
      </x:c>
      <x:c r="B1" s="33" t="str">
        <x:v>iOS App Readiness Tracker</x:v>
      </x:c>
      <x:c r="C1" s="33" t="str">
        <x:v>iOS App Readiness Tracker</x:v>
      </x:c>
      <x:c r="D1" s="33" t="str">
        <x:v>iOS App Readiness Tracker</x:v>
      </x:c>
      <x:c r="E1" s="33" t="str">
        <x:v>iOS App Readiness Tracker</x:v>
      </x:c>
      <x:c r="F1" s="33" t="str">
        <x:v>iOS App Readiness Tracker</x:v>
      </x:c>
      <x:c r="G1" s="33" t="str">
        <x:v>iOS App Readiness Tracker</x:v>
      </x:c>
      <x:c r="H1" s="33" t="str">
        <x:v>iOS App Readiness Tracker</x:v>
      </x:c>
    </x:row>
    <x:row r="2" ht="27" customHeight="1">
      <x:c r="A2" s="37" t="str">
        <x:v>Project-local source of truth for converting the Data Science Python Playground into a publishable iPhone/iPad app. Updated 2026-09-02.</x:v>
      </x:c>
      <x:c r="B2" s="37" t="str">
        <x:v>Project-local source of truth for converting the Data Science Python Playground into a publishable iPhone/iPad app. Updated 2026-08-31.</x:v>
      </x:c>
      <x:c r="C2" s="37" t="str">
        <x:v>Project-local source of truth for converting the Data Science Python Playground into a publishable iPhone/iPad app. Updated 2026-08-31.</x:v>
      </x:c>
      <x:c r="D2" s="37" t="str">
        <x:v>Project-local source of truth for converting the Data Science Python Playground into a publishable iPhone/iPad app. Updated 2026-08-31.</x:v>
      </x:c>
      <x:c r="E2" s="37" t="str">
        <x:v>Project-local source of truth for converting the Data Science Python Playground into a publishable iPhone/iPad app. Updated 2026-08-31.</x:v>
      </x:c>
      <x:c r="F2" s="37" t="str">
        <x:v>Project-local source of truth for converting the Data Science Python Playground into a publishable iPhone/iPad app. Updated 2026-08-31.</x:v>
      </x:c>
      <x:c r="G2" s="37" t="str">
        <x:v>Project-local source of truth for converting the Data Science Python Playground into a publishable iPhone/iPad app. Updated 2026-08-31.</x:v>
      </x:c>
      <x:c r="H2" s="37" t="str">
        <x:v>Project-local source of truth for converting the Data Science Python Playground into a publishable iPhone/iPad app. Updated 2026-08-31.</x:v>
      </x:c>
    </x:row>
    <x:row r="4" ht="22" customHeight="1">
      <x:c r="A4" s="39" t="str">
        <x:v>TOTAL TASKS</x:v>
      </x:c>
      <x:c r="B4" s="39" t="str">
        <x:v>TOTAL TASKS</x:v>
      </x:c>
      <x:c r="C4" s="39" t="str">
        <x:v>DONE</x:v>
      </x:c>
      <x:c r="D4" s="39" t="str">
        <x:v>DONE</x:v>
      </x:c>
      <x:c r="E4" s="39" t="str">
        <x:v>OPEN</x:v>
      </x:c>
      <x:c r="F4" s="39" t="str">
        <x:v>OPEN</x:v>
      </x:c>
      <x:c r="G4" s="39" t="str">
        <x:v>NEEDS USER INFO</x:v>
      </x:c>
      <x:c r="H4" s="39" t="str">
        <x:v>NEEDS USER INFO</x:v>
      </x:c>
    </x:row>
    <x:row r="5" ht="34" customHeight="1">
      <x:c r="A5" s="46" t="n">
        <x:f>COUNTA('Task Register'!$A$5:$A$61)</x:f>
        <x:v>57</x:v>
      </x:c>
      <x:c r="B5" s="47"/>
      <x:c r="C5" s="46" t="n">
        <x:f>COUNTIF('Task Register'!$F$5:$F$61,"Done")</x:f>
        <x:v>24</x:v>
      </x:c>
      <x:c r="D5" s="47"/>
      <x:c r="E5" s="46" t="n">
        <x:f>A5-C5</x:f>
        <x:v>33</x:v>
      </x:c>
      <x:c r="F5" s="47"/>
      <x:c r="G5" s="46" t="n">
        <x:f>COUNTIF('Task Register'!$F$5:$F$61,"Needs User Info")</x:f>
        <x:v>1</x:v>
      </x:c>
      <x:c r="H5" s="47"/>
    </x:row>
    <x:row r="7" ht="22" customHeight="1">
      <x:c r="A7" s="50" t="str">
        <x:v>CURRENT RECOMMENDATION</x:v>
      </x:c>
      <x:c r="B7" s="50" t="str">
        <x:v>CURRENT RECOMMENDATION</x:v>
      </x:c>
      <x:c r="C7" s="50" t="str">
        <x:v>CURRENT RECOMMENDATION</x:v>
      </x:c>
      <x:c r="D7" s="50" t="str">
        <x:v>CURRENT RECOMMENDATION</x:v>
      </x:c>
      <x:c r="E7" s="50" t="str">
        <x:v>CURRENT RECOMMENDATION</x:v>
      </x:c>
      <x:c r="F7" s="50" t="str">
        <x:v>CURRENT RECOMMENDATION</x:v>
      </x:c>
      <x:c r="G7" s="50" t="str">
        <x:v>CURRENT RECOMMENDATION</x:v>
      </x:c>
      <x:c r="H7" s="50" t="str">
        <x:v>CURRENT RECOMMENDATION</x:v>
      </x:c>
    </x:row>
    <x:row r="8" ht="26" customHeight="1">
      <x:c r="A8" s="69"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Xcode 26.6 signing and iPad device launch validation now pass on a free Personal Team profile through 2026-09-09; next gates are full route/offline/device QA, publishing the legal URLs, owner-created AdMob credentials, and paid Apple Developer membership for App Store/TestFlight.</x:v>
      </x:c>
      <x:c r="B8" s="70"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C8" s="70"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D8" s="70"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E8" s="70"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F8" s="70"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G8" s="70"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H8" s="71"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row>
    <x:row r="9" ht="26" customHeight="1">
      <x:c r="A9" s="72"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B9" s="73"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C9" s="73"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D9" s="73"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E9" s="73"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F9" s="73"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G9" s="73"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H9" s="74"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row>
    <x:row r="10" ht="26" customHeight="1">
      <x:c r="A10" s="75"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B10" s="76"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C10" s="76"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D10" s="76"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E10" s="76"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F10" s="76"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G10" s="76"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c r="H10" s="77" t="str">
        <x:v>Ship version 1 on Mac through the browser/GitHub Pages and use the shared Capacitor shell for iPhone/iPad. Sessions are intentionally temporary: backgrounding may preserve active work, but terminating the process returns to a fresh canvas. AdMob is the chosen future provider with banners only. Next gates are freeing space/installing full Xcode, Apple signing/device validation, publishing the legal URLs, and owner-created AdMob credentials.</x:v>
      </x:c>
    </x:row>
    <x:row r="12">
      <x:c r="A12" s="78" t="str">
        <x:v>COMPLETED FIRST ACTIONS</x:v>
      </x:c>
      <x:c r="B12" s="78" t="str">
        <x:v>COMPLETED FIRST ACTIONS</x:v>
      </x:c>
      <x:c r="C12" s="78" t="str">
        <x:v>COMPLETED FIRST ACTIONS</x:v>
      </x:c>
      <x:c r="D12" s="78" t="str">
        <x:v>COMPLETED FIRST ACTIONS</x:v>
      </x:c>
      <x:c r="F12" s="78" t="str">
        <x:v>NEXT USER DECISIONS</x:v>
      </x:c>
      <x:c r="G12" s="78" t="str">
        <x:v>NEXT USER DECISIONS</x:v>
      </x:c>
      <x:c r="H12" s="78" t="str">
        <x:v>NEXT USER DECISIONS</x:v>
      </x:c>
    </x:row>
    <x:row r="13" ht="26" customHeight="1">
      <x:c r="A13" s="12" t="str">
        <x:v>Task</x:v>
      </x:c>
      <x:c r="B13" s="13" t="str">
        <x:v>Status</x:v>
      </x:c>
      <x:c r="C13" s="13" t="str">
        <x:v>Evidence file</x:v>
      </x:c>
      <x:c r="D13" s="14" t="str">
        <x:v>Purpose</x:v>
      </x:c>
      <x:c r="F13" s="12" t="str">
        <x:v>ID</x:v>
      </x:c>
      <x:c r="G13" s="13" t="str">
        <x:v>Decision</x:v>
      </x:c>
      <x:c r="H13" s="14" t="str">
        <x:v>Why it matters</x:v>
      </x:c>
    </x:row>
    <x:row r="14" ht="26" customHeight="1">
      <x:c r="A14" s="26" t="str">
        <x:v>TECH-012</x:v>
      </x:c>
      <x:c r="B14" s="26" t="str">
        <x:v>Done</x:v>
      </x:c>
      <x:c r="C14" s="20" t="str">
        <x:v>app-platform.js; privacy.html</x:v>
      </x:c>
      <x:c r="D14" s="20" t="str">
        <x:v>Fresh canvas after termination</x:v>
      </x:c>
      <x:c r="E14"/>
      <x:c r="F14" s="26" t="str">
        <x:v>STORE-001</x:v>
      </x:c>
      <x:c r="G14" s="20" t="str">
        <x:v>Enroll in paid Apple Developer Program</x:v>
      </x:c>
      <x:c r="H14" s="20" t="str">
        <x:v>Needed for App Store/TestFlight; Personal Team expires 2026-09-09.</x:v>
      </x:c>
    </x:row>
    <x:row r="15" ht="26" customHeight="1">
      <x:c r="A15" s="27" t="str">
        <x:v>TECH-013</x:v>
      </x:c>
      <x:c r="B15" s="27" t="str">
        <x:v>Done</x:v>
      </x:c>
      <x:c r="C15" s="21" t="str">
        <x:v>ios-app-architecture.md</x:v>
      </x:c>
      <x:c r="D15" s="21" t="str">
        <x:v>Browser-only Mac v1</x:v>
      </x:c>
      <x:c r="E15"/>
      <x:c r="F15" s="27" t="str">
        <x:v>QA-002</x:v>
      </x:c>
      <x:c r="G15" s="21" t="str">
        <x:v>Run iPhone/iPad workflow QA</x:v>
      </x:c>
      <x:c r="H15" s="21" t="str">
        <x:v>Signed iPad launch passes; offline, Files, routes, and relaunch remain.</x:v>
      </x:c>
    </x:row>
    <x:row r="16" ht="26" customHeight="1">
      <x:c r="A16" s="27" t="str">
        <x:v>ADS-001</x:v>
      </x:c>
      <x:c r="B16" s="27" t="str">
        <x:v>Done</x:v>
      </x:c>
      <x:c r="C16" s="21" t="str">
        <x:v>ads-and-consent-plan.md</x:v>
      </x:c>
      <x:c r="D16" s="21" t="str">
        <x:v>AdMob banner-only decision</x:v>
      </x:c>
      <x:c r="F16" s="27" t="str">
        <x:v>ADS-002</x:v>
      </x:c>
      <x:c r="G16" s="21" t="str">
        <x:v>Create AdMob account/ad units</x:v>
      </x:c>
      <x:c r="H16" s="21" t="str">
        <x:v>Requires owner payment profile and final app record</x:v>
      </x:c>
    </x:row>
    <x:row r="17" ht="26" customHeight="1">
      <x:c r="A17" s="27" t="str">
        <x:v>PRIV-005</x:v>
      </x:c>
      <x:c r="B17" s="27" t="str">
        <x:v>In Progress</x:v>
      </x:c>
      <x:c r="C17" s="21" t="str">
        <x:v>acknowledgements.html; licenses/</x:v>
      </x:c>
      <x:c r="D17" s="21" t="str">
        <x:v>Rights evidence and notices</x:v>
      </x:c>
      <x:c r="F17" s="27" t="str">
        <x:v>PRIV-005</x:v>
      </x:c>
      <x:c r="G17" s="21" t="str">
        <x:v>Confirm Palmer publication policy</x:v>
      </x:c>
      <x:c r="H17" s="21" t="str">
        <x:v>Final rights-release control</x:v>
      </x:c>
    </x:row>
    <x:row r="18" ht="26" customHeight="1">
      <x:c r="A18" s="27" t="str">
        <x:v>QA-003</x:v>
      </x:c>
      <x:c r="B18" s="27" t="str">
        <x:v>In Progress</x:v>
      </x:c>
      <x:c r="C18" s="21" t="str">
        <x:v>tests/; CI workflow</x:v>
      </x:c>
      <x:c r="D18" s="21" t="str">
        <x:v>Automated route/runtime QA</x:v>
      </x:c>
      <x:c r="E18"/>
      <x:c r="F18" s="27" t="str">
        <x:v>QA-004</x:v>
      </x:c>
      <x:c r="G18" s="21" t="str">
        <x:v>Run physical-device performance QA</x:v>
      </x:c>
      <x:c r="H18" s="21" t="str">
        <x:v>iPad is ready; profiling and large-runtime checks remain.</x:v>
      </x:c>
    </x:row>
    <x:row r="20">
      <x:c r="A20" s="50" t="str">
        <x:v>HOW TO USE THIS WORKBOOK</x:v>
      </x:c>
      <x:c r="B20" s="50" t="str">
        <x:v>HOW TO USE THIS WORKBOOK</x:v>
      </x:c>
      <x:c r="C20" s="50" t="str">
        <x:v>HOW TO USE THIS WORKBOOK</x:v>
      </x:c>
      <x:c r="D20" s="50" t="str">
        <x:v>HOW TO USE THIS WORKBOOK</x:v>
      </x:c>
      <x:c r="E20" s="50" t="str">
        <x:v>HOW TO USE THIS WORKBOOK</x:v>
      </x:c>
      <x:c r="F20" s="50" t="str">
        <x:v>HOW TO USE THIS WORKBOOK</x:v>
      </x:c>
      <x:c r="G20" s="50" t="str">
        <x:v>HOW TO USE THIS WORKBOOK</x:v>
      </x:c>
      <x:c r="H20" s="50" t="str">
        <x:v>HOW TO USE THIS WORKBOOK</x:v>
      </x:c>
    </x:row>
    <x:row r="21" ht="25" customHeight="1">
      <x:c r="A21" s="69" t="str">
        <x:v>Update the Status, Evidence / file, Owner, Notes / next action, and Updated columns in Task Register. Completed rows stay visible. The Release Checklist derives its status from the task register, while File Map records every artifact created in this folder.</x:v>
      </x:c>
      <x:c r="B21" s="70" t="str">
        <x:v>Update the Status, Evidence / file, Owner, Notes / next action, and Updated columns in Task Register. Completed rows stay visible. The Release Checklist derives its status from the task register, while File Map records every artifact created in this folder.</x:v>
      </x:c>
      <x:c r="C21" s="70" t="str">
        <x:v>Update the Status, Evidence / file, Owner, Notes / next action, and Updated columns in Task Register. Completed rows stay visible. The Release Checklist derives its status from the task register, while File Map records every artifact created in this folder.</x:v>
      </x:c>
      <x:c r="D21" s="70" t="str">
        <x:v>Update the Status, Evidence / file, Owner, Notes / next action, and Updated columns in Task Register. Completed rows stay visible. The Release Checklist derives its status from the task register, while File Map records every artifact created in this folder.</x:v>
      </x:c>
      <x:c r="E21" s="70" t="str">
        <x:v>Update the Status, Evidence / file, Owner, Notes / next action, and Updated columns in Task Register. Completed rows stay visible. The Release Checklist derives its status from the task register, while File Map records every artifact created in this folder.</x:v>
      </x:c>
      <x:c r="F21" s="70" t="str">
        <x:v>Update the Status, Evidence / file, Owner, Notes / next action, and Updated columns in Task Register. Completed rows stay visible. The Release Checklist derives its status from the task register, while File Map records every artifact created in this folder.</x:v>
      </x:c>
      <x:c r="G21" s="70" t="str">
        <x:v>Update the Status, Evidence / file, Owner, Notes / next action, and Updated columns in Task Register. Completed rows stay visible. The Release Checklist derives its status from the task register, while File Map records every artifact created in this folder.</x:v>
      </x:c>
      <x:c r="H21" s="71" t="str">
        <x:v>Update the Status, Evidence / file, Owner, Notes / next action, and Updated columns in Task Register. Completed rows stay visible. The Release Checklist derives its status from the task register, while File Map records every artifact created in this folder.</x:v>
      </x:c>
    </x:row>
    <x:row r="22" ht="25" customHeight="1">
      <x:c r="A22" s="72" t="str">
        <x:v>Update the Status, Evidence / file, Owner, Notes / next action, and Updated columns in Task Register. Completed rows stay visible. The Release Checklist derives its status from the task register, while File Map records every artifact created in this folder.</x:v>
      </x:c>
      <x:c r="B22" s="73" t="str">
        <x:v>Update the Status, Evidence / file, Owner, Notes / next action, and Updated columns in Task Register. Completed rows stay visible. The Release Checklist derives its status from the task register, while File Map records every artifact created in this folder.</x:v>
      </x:c>
      <x:c r="C22" s="73" t="str">
        <x:v>Update the Status, Evidence / file, Owner, Notes / next action, and Updated columns in Task Register. Completed rows stay visible. The Release Checklist derives its status from the task register, while File Map records every artifact created in this folder.</x:v>
      </x:c>
      <x:c r="D22" s="73" t="str">
        <x:v>Update the Status, Evidence / file, Owner, Notes / next action, and Updated columns in Task Register. Completed rows stay visible. The Release Checklist derives its status from the task register, while File Map records every artifact created in this folder.</x:v>
      </x:c>
      <x:c r="E22" s="73" t="str">
        <x:v>Update the Status, Evidence / file, Owner, Notes / next action, and Updated columns in Task Register. Completed rows stay visible. The Release Checklist derives its status from the task register, while File Map records every artifact created in this folder.</x:v>
      </x:c>
      <x:c r="F22" s="73" t="str">
        <x:v>Update the Status, Evidence / file, Owner, Notes / next action, and Updated columns in Task Register. Completed rows stay visible. The Release Checklist derives its status from the task register, while File Map records every artifact created in this folder.</x:v>
      </x:c>
      <x:c r="G22" s="73" t="str">
        <x:v>Update the Status, Evidence / file, Owner, Notes / next action, and Updated columns in Task Register. Completed rows stay visible. The Release Checklist derives its status from the task register, while File Map records every artifact created in this folder.</x:v>
      </x:c>
      <x:c r="H22" s="74" t="str">
        <x:v>Update the Status, Evidence / file, Owner, Notes / next action, and Updated columns in Task Register. Completed rows stay visible. The Release Checklist derives its status from the task register, while File Map records every artifact created in this folder.</x:v>
      </x:c>
    </x:row>
    <x:row r="23" ht="25" customHeight="1">
      <x:c r="A23" s="75" t="str">
        <x:v>Update the Status, Evidence / file, Owner, Notes / next action, and Updated columns in Task Register. Completed rows stay visible. The Release Checklist derives its status from the task register, while File Map records every artifact created in this folder.</x:v>
      </x:c>
      <x:c r="B23" s="76" t="str">
        <x:v>Update the Status, Evidence / file, Owner, Notes / next action, and Updated columns in Task Register. Completed rows stay visible. The Release Checklist derives its status from the task register, while File Map records every artifact created in this folder.</x:v>
      </x:c>
      <x:c r="C23" s="76" t="str">
        <x:v>Update the Status, Evidence / file, Owner, Notes / next action, and Updated columns in Task Register. Completed rows stay visible. The Release Checklist derives its status from the task register, while File Map records every artifact created in this folder.</x:v>
      </x:c>
      <x:c r="D23" s="76" t="str">
        <x:v>Update the Status, Evidence / file, Owner, Notes / next action, and Updated columns in Task Register. Completed rows stay visible. The Release Checklist derives its status from the task register, while File Map records every artifact created in this folder.</x:v>
      </x:c>
      <x:c r="E23" s="76" t="str">
        <x:v>Update the Status, Evidence / file, Owner, Notes / next action, and Updated columns in Task Register. Completed rows stay visible. The Release Checklist derives its status from the task register, while File Map records every artifact created in this folder.</x:v>
      </x:c>
      <x:c r="F23" s="76" t="str">
        <x:v>Update the Status, Evidence / file, Owner, Notes / next action, and Updated columns in Task Register. Completed rows stay visible. The Release Checklist derives its status from the task register, while File Map records every artifact created in this folder.</x:v>
      </x:c>
      <x:c r="G23" s="76" t="str">
        <x:v>Update the Status, Evidence / file, Owner, Notes / next action, and Updated columns in Task Register. Completed rows stay visible. The Release Checklist derives its status from the task register, while File Map records every artifact created in this folder.</x:v>
      </x:c>
      <x:c r="H23" s="77" t="str">
        <x:v>Update the Status, Evidence / file, Owner, Notes / next action, and Updated columns in Task Register. Completed rows stay visible. The Release Checklist derives its status from the task register, while File Map records every artifact created in this folder.</x:v>
      </x:c>
    </x:row>
    <x:row r="25" ht="24" customHeight="1">
      <x:c r="A25" s="12" t="str">
        <x:v>STATUS SUMMARY</x:v>
      </x:c>
      <x:c r="B25" s="14" t="str">
        <x:v>COUNT</x:v>
      </x:c>
    </x:row>
    <x:row r="26" ht="24" customHeight="1">
      <x:c r="A26" s="20" t="str">
        <x:v>Done</x:v>
      </x:c>
      <x:c r="B26" s="26" t="n">
        <x:f>COUNTIF('Task Register'!$F$5:$F$61,"Done")</x:f>
        <x:v>24</x:v>
      </x:c>
    </x:row>
    <x:row r="27" ht="24" customHeight="1">
      <x:c r="A27" s="21" t="str">
        <x:v>In Progress</x:v>
      </x:c>
      <x:c r="B27" s="27" t="n">
        <x:f>COUNTIF('Task Register'!$F$5:$F$61,"In Progress")</x:f>
        <x:v>13</x:v>
      </x:c>
    </x:row>
    <x:row r="28" ht="24" customHeight="1">
      <x:c r="A28" s="21" t="str">
        <x:v>Needs User Info</x:v>
      </x:c>
      <x:c r="B28" s="27" t="n">
        <x:f>COUNTIF('Task Register'!$F$5:$F$61,"Needs User Info")</x:f>
        <x:v>1</x:v>
      </x:c>
    </x:row>
    <x:row r="29" ht="24" customHeight="1">
      <x:c r="A29" s="21" t="str">
        <x:v>Not Started</x:v>
      </x:c>
      <x:c r="B29" s="27" t="n">
        <x:f>COUNTIF('Task Register'!$F$5:$F$61,"Not Started")</x:f>
        <x:v>19</x:v>
      </x:c>
    </x:row>
  </x:sheetData>
  <x:mergeCells>
    <x:mergeCell ref="A1:H1"/>
    <x:mergeCell ref="A2:H2"/>
    <x:mergeCell ref="A4:B4"/>
    <x:mergeCell ref="A5:B5"/>
    <x:mergeCell ref="C4:D4"/>
    <x:mergeCell ref="C5:D5"/>
    <x:mergeCell ref="E4:F4"/>
    <x:mergeCell ref="E5:F5"/>
    <x:mergeCell ref="G4:H4"/>
    <x:mergeCell ref="G5:H5"/>
    <x:mergeCell ref="A7:H7"/>
    <x:mergeCell ref="A8:H10"/>
    <x:mergeCell ref="A12:D12"/>
    <x:mergeCell ref="F12:H12"/>
    <x:mergeCell ref="A20:H20"/>
    <x:mergeCell ref="A21: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32" hidden="0" customWidth="1"/>
    <x:col min="4" max="4" width="54" hidden="0" customWidth="1"/>
    <x:col min="5" max="5" width="10" hidden="0" customWidth="1"/>
    <x:col min="6" max="6" width="18" hidden="0" customWidth="1"/>
    <x:col min="7" max="7" width="14" hidden="0" customWidth="1"/>
    <x:col min="8" max="8" width="16" hidden="0" customWidth="1"/>
    <x:col min="9" max="9" width="32" hidden="0" customWidth="1"/>
    <x:col min="10" max="10" width="18" hidden="0" customWidth="1"/>
    <x:col min="11" max="11" width="46" hidden="0" customWidth="1"/>
    <x:col min="12" max="12" width="13" hidden="0" customWidth="1"/>
  </x:cols>
  <x:sheetData>
    <x:row r="4" ht="30" customHeight="1">
      <x:c r="A4" s="12" t="str">
        <x:v>ID</x:v>
      </x:c>
      <x:c r="B4" s="13" t="str">
        <x:v>Phase</x:v>
      </x:c>
      <x:c r="C4" s="13" t="str">
        <x:v>Task</x:v>
      </x:c>
      <x:c r="D4" s="13" t="str">
        <x:v>Description / acceptance</x:v>
      </x:c>
      <x:c r="E4" s="13" t="str">
        <x:v>Priority</x:v>
      </x:c>
      <x:c r="F4" s="13" t="str">
        <x:v>Status</x:v>
      </x:c>
      <x:c r="G4" s="13" t="str">
        <x:v>Dependency</x:v>
      </x:c>
      <x:c r="H4" s="13" t="str">
        <x:v>Owner</x:v>
      </x:c>
      <x:c r="I4" s="13" t="str">
        <x:v>Evidence / file</x:v>
      </x:c>
      <x:c r="J4" s="13" t="str">
        <x:v>Source ref</x:v>
      </x:c>
      <x:c r="K4" s="13" t="str">
        <x:v>Notes / next action</x:v>
      </x:c>
      <x:c r="L4" s="14" t="str">
        <x:v>Updated</x:v>
      </x:c>
    </x:row>
    <x:row r="5" ht="42" customHeight="1">
      <x:c r="A5" s="24" t="str">
        <x:v>PLAN-001</x:v>
      </x:c>
      <x:c r="B5" s="20" t="str">
        <x:v>Planning</x:v>
      </x:c>
      <x:c r="C5" s="20" t="str">
        <x:v>Create the iOS readiness tracker area</x:v>
      </x:c>
      <x:c r="D5" s="20" t="str">
        <x:v>Create one project-local folder and a workbook that remains the source of truth for this work.</x:v>
      </x:c>
      <x:c r="E5" s="26" t="str">
        <x:v>P0</x:v>
      </x:c>
      <x:c r="F5" s="26" t="str">
        <x:v>Done</x:v>
      </x:c>
      <x:c r="G5" s="20" t="str">
        <x:v>—</x:v>
      </x:c>
      <x:c r="H5" s="20" t="str">
        <x:v>Codex</x:v>
      </x:c>
      <x:c r="I5" s="20" t="str">
        <x:v>README.md; iOS_App_Readiness_Tracker.xlsx</x:v>
      </x:c>
      <x:c r="J5" s="20" t="str">
        <x:v>PROJECT</x:v>
      </x:c>
      <x:c r="K5" s="20" t="str">
        <x:v>Folder and tracking workbook created.</x:v>
      </x:c>
      <x:c r="L5" s="28" t="n">
        <x:v>46265</x:v>
      </x:c>
    </x:row>
    <x:row r="6" ht="42" customHeight="1">
      <x:c r="A6" s="25" t="str">
        <x:v>PLAN-002</x:v>
      </x:c>
      <x:c r="B6" s="21" t="str">
        <x:v>Planning</x:v>
      </x:c>
      <x:c r="C6" s="21" t="str">
        <x:v>Document the initial packaging recommendation</x:v>
      </x:c>
      <x:c r="D6" s="21" t="str">
        <x:v>Record why a native iOS shell around the existing web product is the shortest first-release route.</x:v>
      </x:c>
      <x:c r="E6" s="27" t="str">
        <x:v>P0</x:v>
      </x:c>
      <x:c r="F6" s="27" t="str">
        <x:v>Done</x:v>
      </x:c>
      <x:c r="G6" s="21" t="str">
        <x:v>PLAN-001</x:v>
      </x:c>
      <x:c r="H6" s="21" t="str">
        <x:v>Codex</x:v>
      </x:c>
      <x:c r="I6" s="21" t="str">
        <x:v>ios-app-architecture.md</x:v>
      </x:c>
      <x:c r="J6" s="21" t="str">
        <x:v>PROJECT</x:v>
      </x:c>
      <x:c r="K6" s="21" t="str">
        <x:v>Recommendation is documented and approved by the owner on 2026-08-31.</x:v>
      </x:c>
      <x:c r="L6" s="29" t="n">
        <x:v>46265</x:v>
      </x:c>
    </x:row>
    <x:row r="7" ht="42" customHeight="1">
      <x:c r="A7" s="25" t="str">
        <x:v>PLAN-003</x:v>
      </x:c>
      <x:c r="B7" s="21" t="str">
        <x:v>Planning</x:v>
      </x:c>
      <x:c r="C7" s="21" t="str">
        <x:v>Inventory current web runtime and mobile risks</x:v>
      </x:c>
      <x:c r="D7" s="21" t="str">
        <x:v>Capture the active routes, dependencies, persistence model, export behaviour, and likely iOS failure points.</x:v>
      </x:c>
      <x:c r="E7" s="27" t="str">
        <x:v>P0</x:v>
      </x:c>
      <x:c r="F7" s="27" t="str">
        <x:v>Done</x:v>
      </x:c>
      <x:c r="G7" s="21" t="str">
        <x:v>PLAN-001</x:v>
      </x:c>
      <x:c r="H7" s="21" t="str">
        <x:v>Codex</x:v>
      </x:c>
      <x:c r="I7" s="21" t="str">
        <x:v>web-runtime-inventory.md</x:v>
      </x:c>
      <x:c r="J7" s="21" t="str">
        <x:v>PROJECT</x:v>
      </x:c>
      <x:c r="K7" s="21" t="str">
        <x:v>Inventory completed from the current release copy.</x:v>
      </x:c>
      <x:c r="L7" s="29" t="n">
        <x:v>46265</x:v>
      </x:c>
    </x:row>
    <x:row r="8" ht="42" customHeight="1">
      <x:c r="A8" s="25" t="str">
        <x:v>PLAN-004</x:v>
      </x:c>
      <x:c r="B8" s="21" t="str">
        <x:v>Planning</x:v>
      </x:c>
      <x:c r="C8" s="21" t="str">
        <x:v>Draft App Store listing copy</x:v>
      </x:c>
      <x:c r="D8" s="21" t="str">
        <x:v>Prepare a working name, subtitle, positioning statement, description, keywords, and a list of missing store fields.</x:v>
      </x:c>
      <x:c r="E8" s="27" t="str">
        <x:v>P1</x:v>
      </x:c>
      <x:c r="F8" s="27" t="str">
        <x:v>Done</x:v>
      </x:c>
      <x:c r="G8" s="21" t="str">
        <x:v>PLAN-001</x:v>
      </x:c>
      <x:c r="H8" s="21" t="str">
        <x:v>Codex</x:v>
      </x:c>
      <x:c r="I8" s="21" t="str">
        <x:v>app-store-listing-draft.md</x:v>
      </x:c>
      <x:c r="J8" s="21" t="str">
        <x:v>APPLE-META</x:v>
      </x:c>
      <x:c r="K8" s="21" t="str">
        <x:v>Draft is complete; legal URLs and final seller details remain open.</x:v>
      </x:c>
      <x:c r="L8" s="29" t="n">
        <x:v>46265</x:v>
      </x:c>
    </x:row>
    <x:row r="9" ht="42" customHeight="1">
      <x:c r="A9" s="25" t="str">
        <x:v>PLAN-005</x:v>
      </x:c>
      <x:c r="B9" s="21" t="str">
        <x:v>Planning</x:v>
      </x:c>
      <x:c r="C9" s="21" t="str">
        <x:v>Write an app-icon design brief</x:v>
      </x:c>
      <x:c r="D9" s="21" t="str">
        <x:v>Define a small-size icon direction and acceptance criteria before creating the final asset set.</x:v>
      </x:c>
      <x:c r="E9" s="27" t="str">
        <x:v>P1</x:v>
      </x:c>
      <x:c r="F9" s="27" t="str">
        <x:v>Done</x:v>
      </x:c>
      <x:c r="G9" s="21" t="str">
        <x:v>PLAN-001</x:v>
      </x:c>
      <x:c r="H9" s="21" t="str">
        <x:v>Codex</x:v>
      </x:c>
      <x:c r="I9" s="21" t="str">
        <x:v>app-icon-brief.md</x:v>
      </x:c>
      <x:c r="J9" s="21" t="str">
        <x:v>APPLE-ICON</x:v>
      </x:c>
      <x:c r="K9" s="21" t="str">
        <x:v>Brief is complete; final icon artwork remains open.</x:v>
      </x:c>
      <x:c r="L9" s="29" t="n">
        <x:v>46265</x:v>
      </x:c>
    </x:row>
    <x:row r="10" ht="42" customHeight="1">
      <x:c r="A10" s="25" t="str">
        <x:v>DEC-001</x:v>
      </x:c>
      <x:c r="B10" s="21" t="str">
        <x:v>Decisions</x:v>
      </x:c>
      <x:c r="C10" s="21" t="str">
        <x:v>Approve the initial packaging approach</x:v>
      </x:c>
      <x:c r="D10" s="21" t="str">
        <x:v>Choose whether the first release uses a Capacitor-style iOS shell or a full native rewrite.</x:v>
      </x:c>
      <x:c r="E10" s="27" t="str">
        <x:v>P0</x:v>
      </x:c>
      <x:c r="F10" s="27" t="str">
        <x:v>Done</x:v>
      </x:c>
      <x:c r="G10" s="21" t="str">
        <x:v>PLAN-002</x:v>
      </x:c>
      <x:c r="H10" s="21" t="str">
        <x:v>Project owner</x:v>
      </x:c>
      <x:c r="I10" s="21" t="str">
        <x:v>ios-app-architecture.md</x:v>
      </x:c>
      <x:c r="J10" s="21" t="str">
        <x:v>CAPACITOR</x:v>
      </x:c>
      <x:c r="K10" s="21" t="str">
        <x:v>Approved 2026-08-31: use a Capacitor-style native shell around the existing web app.</x:v>
      </x:c>
      <x:c r="L10" s="29" t="n">
        <x:v>46265</x:v>
      </x:c>
    </x:row>
    <x:row r="11" ht="42" customHeight="1">
      <x:c r="A11" s="25" t="str">
        <x:v>DEC-002</x:v>
      </x:c>
      <x:c r="B11" s="21" t="str">
        <x:v>Decisions</x:v>
      </x:c>
      <x:c r="C11" s="21" t="str">
        <x:v>Confirm the first release device and desktop surfaces</x:v>
      </x:c>
      <x:c r="D11" s="21" t="str">
        <x:v>Decide which Apple devices receive the native build and how computer/Mac users are supported.</x:v>
      </x:c>
      <x:c r="E11" s="27" t="str">
        <x:v>P1</x:v>
      </x:c>
      <x:c r="F11" s="27" t="str">
        <x:v>Done</x:v>
      </x:c>
      <x:c r="G11" s="21" t="str">
        <x:v>PLAN-002</x:v>
      </x:c>
      <x:c r="H11" s="21" t="str">
        <x:v>Project owner</x:v>
      </x:c>
      <x:c r="I11" s="21" t="str">
        <x:v>ios-app-architecture.md</x:v>
      </x:c>
      <x:c r="J11" s="21" t="str">
        <x:v>APPLE-MAC</x:v>
      </x:c>
      <x:c r="K11" s="21" t="str">
        <x:v>Approved: iPhone and iPad native targets; keep the browser version for computers and validate native Mac delivery separately.</x:v>
      </x:c>
      <x:c r="L11" s="29" t="n">
        <x:v>46265</x:v>
      </x:c>
    </x:row>
    <x:row r="12" ht="42" customHeight="1">
      <x:c r="A12" s="25" t="str">
        <x:v>DEC-003</x:v>
      </x:c>
      <x:c r="B12" s="21" t="str">
        <x:v>Decisions</x:v>
      </x:c>
      <x:c r="C12" s="21" t="str">
        <x:v>Confirm the first release business model</x:v>
      </x:c>
      <x:c r="D12" s="21" t="str">
        <x:v>Confirm free/no-account/local-first scope before adding subscriptions, cloud sync, or account infrastructure.</x:v>
      </x:c>
      <x:c r="E12" s="27" t="str">
        <x:v>P1</x:v>
      </x:c>
      <x:c r="F12" s="27" t="str">
        <x:v>Done</x:v>
      </x:c>
      <x:c r="G12" s="21" t="str">
        <x:v>PLAN-002</x:v>
      </x:c>
      <x:c r="H12" s="21" t="str">
        <x:v>Project owner</x:v>
      </x:c>
      <x:c r="I12" s="21" t="str">
        <x:v>ios-app-architecture.md</x:v>
      </x:c>
      <x:c r="J12" s="21" t="str">
        <x:v>APPLE-IAP</x:v>
      </x:c>
      <x:c r="K12" s="21" t="str">
        <x:v>Approved: free and no account; in-app purchases are on hold; advertising is a separate planned workstream.</x:v>
      </x:c>
      <x:c r="L12" s="29" t="n">
        <x:v>46265</x:v>
      </x:c>
    </x:row>
    <x:row r="13" ht="42" customHeight="1">
      <x:c r="A13" s="25" t="str">
        <x:v>TECH-001</x:v>
      </x:c>
      <x:c r="B13" s="21" t="str">
        <x:v>Native build</x:v>
      </x:c>
      <x:c r="C13" s="21" t="str">
        <x:v>Create the native iOS project</x:v>
      </x:c>
      <x:c r="D13" s="21" t="str">
        <x:v>Add an Xcode project and iOS target that packages the web app as a signed application.</x:v>
      </x:c>
      <x:c r="E13" s="27" t="str">
        <x:v>P0</x:v>
      </x:c>
      <x:c r="F13" s="27" t="str">
        <x:v>Done</x:v>
      </x:c>
      <x:c r="G13" s="21" t="str">
        <x:v>DEC-001</x:v>
      </x:c>
      <x:c r="H13" s="21" t="str">
        <x:v>Developer</x:v>
      </x:c>
      <x:c r="I13" s="21" t="str">
        <x:v>ios/; capacitor.config.json; package.json; Xcode signing; paired iPad</x:v>
      </x:c>
      <x:c r="J13" s="21" t="str">
        <x:v>APPLE-SUBMIT</x:v>
      </x:c>
      <x:c r="K13" s="21" t="str">
        <x:v>Capacitor 8 Xcode project created with approved bundle ID. Xcode 26.6 installed; Apple Development certificate created for the free Personal Team; automatic signing enabled; Developer Mode enabled; Xcode-managed provisioning profile generated for the paired iPad (expires 2026-09-09). Signed Debug build installed and launched successfully on iPad Pro 13-inch M4 (iPadOS 26.6). Release archive/signing remains.</x:v>
      </x:c>
      <x:c r="L13" s="29" t="n">
        <x:v>46267</x:v>
      </x:c>
    </x:row>
    <x:row r="14" ht="42" customHeight="1">
      <x:c r="A14" s="25" t="str">
        <x:v>TECH-002</x:v>
      </x:c>
      <x:c r="B14" s="21" t="str">
        <x:v>Native build</x:v>
      </x:c>
      <x:c r="C14" s="21" t="str">
        <x:v>Choose and register the bundle identifier</x:v>
      </x:c>
      <x:c r="D14" s="21" t="str">
        <x:v>Select a stable reverse-DNS bundle ID and register it in the Apple Developer account.</x:v>
      </x:c>
      <x:c r="E14" s="27" t="str">
        <x:v>P0</x:v>
      </x:c>
      <x:c r="F14" s="27" t="str">
        <x:v>Done</x:v>
      </x:c>
      <x:c r="G14" s="21" t="str">
        <x:v>DEC-001</x:v>
      </x:c>
      <x:c r="H14" s="21" t="str">
        <x:v>Project owner</x:v>
      </x:c>
      <x:c r="I14" s="21" t="str">
        <x:v>ios-app-architecture.md; Xcode automatic signing; Personal Team</x:v>
      </x:c>
      <x:c r="J14" s="21" t="str">
        <x:v>APPLE-ACCOUNT</x:v>
      </x:c>
      <x:c r="K14" s="21" t="str">
        <x:v>Approved ID com.elijahang.datascienceplayground is registered through Xcode automatic signing under the free Personal Team; one physical iPad is registered. Paid Apple Developer Program enrollment remains required for App Store/TestFlight distribution and longer-lived profiles.</x:v>
      </x:c>
      <x:c r="L14" s="29" t="n">
        <x:v>46267</x:v>
      </x:c>
    </x:row>
    <x:row r="15" ht="42" customHeight="1">
      <x:c r="A15" s="25" t="str">
        <x:v>TECH-003</x:v>
      </x:c>
      <x:c r="B15" s="21" t="str">
        <x:v>Native build</x:v>
      </x:c>
      <x:c r="C15" s="21" t="str">
        <x:v>Establish version and release-branch rules</x:v>
      </x:c>
      <x:c r="D15" s="21" t="str">
        <x:v>Define marketing version, build number, release branch, and the web-to-iOS build handoff.</x:v>
      </x:c>
      <x:c r="E15" s="27" t="str">
        <x:v>P1</x:v>
      </x:c>
      <x:c r="F15" s="27" t="str">
        <x:v>Done</x:v>
      </x:c>
      <x:c r="G15" s="21" t="str">
        <x:v>TECH-001</x:v>
      </x:c>
      <x:c r="H15" s="21" t="str">
        <x:v>Developer</x:v>
      </x:c>
      <x:c r="I15" s="21" t="str">
        <x:v>release-and-versioning.md; scripts/build-web.mjs</x:v>
      </x:c>
      <x:c r="J15" s="21" t="str">
        <x:v>PROJECT</x:v>
      </x:c>
      <x:c r="K15" s="21" t="str">
        <x:v>Release source, version, build-number, and web/native traceability rules documented.</x:v>
      </x:c>
      <x:c r="L15" s="29" t="n">
        <x:v>46265</x:v>
      </x:c>
    </x:row>
    <x:row r="16" ht="42" customHeight="1">
      <x:c r="A16" s="25" t="str">
        <x:v>TECH-004</x:v>
      </x:c>
      <x:c r="B16" s="21" t="str">
        <x:v>Native build</x:v>
      </x:c>
      <x:c r="C16" s="21" t="str">
        <x:v>Package the web assets locally</x:v>
      </x:c>
      <x:c r="D16" s="21" t="str">
        <x:v>Make the app load index.html, playground.html, ml.html, JavaScript, CSS, and bundled data from the app package.</x:v>
      </x:c>
      <x:c r="E16" s="27" t="str">
        <x:v>P0</x:v>
      </x:c>
      <x:c r="F16" s="27" t="str">
        <x:v>Done</x:v>
      </x:c>
      <x:c r="G16" s="21" t="str">
        <x:v>TECH-001</x:v>
      </x:c>
      <x:c r="H16" s="21" t="str">
        <x:v>Developer</x:v>
      </x:c>
      <x:c r="I16" s="21" t="str">
        <x:v>scripts/build-web.mjs; capacitor.config.json; ios/App/App/public/</x:v>
      </x:c>
      <x:c r="J16" s="21" t="str">
        <x:v>CAPACITOR</x:v>
      </x:c>
      <x:c r="K16" s="21" t="str">
        <x:v>Both compact web and native-local asset builds are reproducible; native sync does not load GitHub Pages as its shell.</x:v>
      </x:c>
      <x:c r="L16" s="29" t="n">
        <x:v>46265</x:v>
      </x:c>
    </x:row>
    <x:row r="17" ht="79.19999694824219" hidden="0" customHeight="1">
      <x:c r="A17" s="25" t="str">
        <x:v>TECH-005</x:v>
      </x:c>
      <x:c r="B17" s="21" t="str">
        <x:v>Runtime</x:v>
      </x:c>
      <x:c r="C17" s="21" t="str">
        <x:v>Bundle or reliably cache Pyodide and scientific packages</x:v>
      </x:c>
      <x:c r="D17" s="21" t="str">
        <x:v>Ensure the Python runtime and required packages are available after a clean install and recover gracefully when the network is unavailable.</x:v>
      </x:c>
      <x:c r="E17" s="27" t="str">
        <x:v>P0</x:v>
      </x:c>
      <x:c r="F17" s="27" t="str">
        <x:v>Done</x:v>
      </x:c>
      <x:c r="G17" s="21" t="str">
        <x:v>TECH-004</x:v>
      </x:c>
      <x:c r="H17" s="21" t="str">
        <x:v>Developer</x:v>
      </x:c>
      <x:c r="I17" s="21" t="str">
        <x:v>scripts/vendor-pyodide.mjs; vendor/pyodide/runtime-manifest.json; iPad Pro 13-inch M4 (iPadOS 26.6)</x:v>
      </x:c>
      <x:c r="J17" s="21" t="str">
        <x:v>PROJECT</x:v>
      </x:c>
      <x:c r="K17" s="21" t="str">
        <x:v>Pinned 146 MB runtime/package closure built and browser-smoke tested. npm ci, npm run ios:sync, and npm run check pass. Clean-install launch and the owner's 2026-09-04 offline cold-launch test (bundled dataset selection and cell execution with Wi-Fi disabled) pass on the physical iPad Pro 13-inch M4.</x:v>
      </x:c>
      <x:c r="L17" s="29" t="n">
        <x:v>46269</x:v>
      </x:c>
    </x:row>
    <x:row r="18" ht="42" customHeight="1">
      <x:c r="A18" s="25" t="str">
        <x:v>TECH-006</x:v>
      </x:c>
      <x:c r="B18" s="21" t="str">
        <x:v>Runtime</x:v>
      </x:c>
      <x:c r="C18" s="21" t="str">
        <x:v>Remove CDN-only font/runtime assumptions</x:v>
      </x:c>
      <x:c r="D18" s="21" t="str">
        <x:v>Self-host fonts and reduce unnecessary third-party requests so rendering and privacy are predictable.</x:v>
      </x:c>
      <x:c r="E18" s="27" t="str">
        <x:v>P1</x:v>
      </x:c>
      <x:c r="F18" s="27" t="str">
        <x:v>Done</x:v>
      </x:c>
      <x:c r="G18" s="21" t="str">
        <x:v>TECH-004</x:v>
      </x:c>
      <x:c r="H18" s="21" t="str">
        <x:v>Developer</x:v>
      </x:c>
      <x:c r="I18" s="21" t="str">
        <x:v>assets/fonts/fonts.css; app/app-platform.js</x:v>
      </x:c>
      <x:c r="J18" s="21" t="str">
        <x:v>PROJECT</x:v>
      </x:c>
      <x:c r="K18" s="21" t="str">
        <x:v>Primary app fonts are local; native runtime/package requests are local. Web CDN behavior remains deliberate and documented.</x:v>
      </x:c>
      <x:c r="L18" s="29" t="n">
        <x:v>46265</x:v>
      </x:c>
    </x:row>
    <x:row r="19" ht="42" customHeight="1">
      <x:c r="A19" s="25" t="str">
        <x:v>TECH-007</x:v>
      </x:c>
      <x:c r="B19" s="21" t="str">
        <x:v>Runtime</x:v>
      </x:c>
      <x:c r="C19" s="21" t="str">
        <x:v>Add runtime loading, error, retry, and offline states</x:v>
      </x:c>
      <x:c r="D19" s="21" t="str">
        <x:v>Show clear user-facing progress and recovery when Python startup, package loading, or a cell execution fails.</x:v>
      </x:c>
      <x:c r="E19" s="27" t="str">
        <x:v>P0</x:v>
      </x:c>
      <x:c r="F19" s="27" t="str">
        <x:v>In Progress</x:v>
      </x:c>
      <x:c r="G19" s="21" t="str">
        <x:v>TECH-005</x:v>
      </x:c>
      <x:c r="H19" s="21" t="str">
        <x:v>Developer</x:v>
      </x:c>
      <x:c r="I19" s="21" t="str">
        <x:v>app/app-platform.js; service-worker.js; offline.html</x:v>
      </x:c>
      <x:c r="J19" s="21" t="str">
        <x:v>APPLE-REVIEW</x:v>
      </x:c>
      <x:c r="K19" s="21" t="str">
        <x:v>Connectivity and offline shell are implemented and existing runtime errors remain visible. Native retry/recovery behavior needs device validation.</x:v>
      </x:c>
      <x:c r="L19" s="29" t="n">
        <x:v>46265</x:v>
      </x:c>
    </x:row>
    <x:row r="20" ht="42" customHeight="1">
      <x:c r="A20" s="25" t="str">
        <x:v>TECH-008</x:v>
      </x:c>
      <x:c r="B20" s="21" t="str">
        <x:v>Runtime</x:v>
      </x:c>
      <x:c r="C20" s="21" t="str">
        <x:v>Verify iOS WebKit compatibility</x:v>
      </x:c>
      <x:c r="D20" s="21" t="str">
        <x:v>Test WebAssembly, Web Workers, DecompressionStream, canvas charts, Blob URLs, and large-data operations in iOS WebKit.</x:v>
      </x:c>
      <x:c r="E20" s="27" t="str">
        <x:v>P0</x:v>
      </x:c>
      <x:c r="F20" s="27" t="str">
        <x:v>Not Started</x:v>
      </x:c>
      <x:c r="G20" s="21" t="str">
        <x:v>TECH-005</x:v>
      </x:c>
      <x:c r="H20" s="21" t="str">
        <x:v>Developer</x:v>
      </x:c>
      <x:c r="I20" s="21" t="str"/>
      <x:c r="J20" s="21" t="str">
        <x:v>APPLE-QA</x:v>
      </x:c>
      <x:c r="K20" s="21" t="str">
        <x:v>Simulator build/launch smoke passes, but WebKit feature coverage and physical-device testing remain.</x:v>
      </x:c>
      <x:c r="L20" s="29" t="n">
        <x:v>46266</x:v>
      </x:c>
    </x:row>
    <x:row r="21" ht="42" customHeight="1">
      <x:c r="A21" s="25" t="str">
        <x:v>TECH-009</x:v>
      </x:c>
      <x:c r="B21" s="21" t="str">
        <x:v>Native bridge</x:v>
      </x:c>
      <x:c r="C21" s="21" t="str">
        <x:v>Map CSV import to the Files app</x:v>
      </x:c>
      <x:c r="D21" s="21" t="str">
        <x:v>Allow users to select CSV files through an iOS-native file picker and pass the contents into the playground.</x:v>
      </x:c>
      <x:c r="E21" s="27" t="str">
        <x:v>P1</x:v>
      </x:c>
      <x:c r="F21" s="27" t="str">
        <x:v>In Progress</x:v>
      </x:c>
      <x:c r="G21" s="21" t="str">
        <x:v>TECH-001</x:v>
      </x:c>
      <x:c r="H21" s="21" t="str">
        <x:v>Developer</x:v>
      </x:c>
      <x:c r="I21" s="21" t="str">
        <x:v>playground.html; ios/App/App/Info.plist</x:v>
      </x:c>
      <x:c r="J21" s="21" t="str">
        <x:v>CAPACITOR</x:v>
      </x:c>
      <x:c r="K21" s="21" t="str">
        <x:v>Existing CSV file input and iOS document-sharing keys are present. Files-provider behavior needs iPhone/iPad validation.</x:v>
      </x:c>
      <x:c r="L21" s="29" t="n">
        <x:v>46265</x:v>
      </x:c>
    </x:row>
    <x:row r="22" ht="52.79999923706055" hidden="0" customHeight="1">
      <x:c r="A22" s="25" t="str">
        <x:v>TECH-010</x:v>
      </x:c>
      <x:c r="B22" s="21" t="str">
        <x:v>Native bridge</x:v>
      </x:c>
      <x:c r="C22" s="21" t="str">
        <x:v>Map CSV and chart export to Files/Share Sheet</x:v>
      </x:c>
      <x:c r="D22" s="21" t="str">
        <x:v>Allow generated CSVs and charts to be saved or shared through native iOS destinations.</x:v>
      </x:c>
      <x:c r="E22" s="27" t="str">
        <x:v>P1</x:v>
      </x:c>
      <x:c r="F22" s="27" t="str">
        <x:v>In Progress</x:v>
      </x:c>
      <x:c r="G22" s="21" t="str">
        <x:v>TECH-001</x:v>
      </x:c>
      <x:c r="H22" s="21" t="str">
        <x:v>Developer</x:v>
      </x:c>
      <x:c r="I22" s="21" t="str">
        <x:v>app/app-platform.js; playground.html; ml-app.js; iPad Pro 13-inch M4 (iPadOS 26.6)</x:v>
      </x:c>
      <x:c r="J22" s="21" t="str">
        <x:v>CAPACITOR</x:v>
      </x:c>
      <x:c r="K22" s="21" t="str">
        <x:v>CSV/chart exports now write a temporary native file and invoke Share Sheet. The owner confirmed the Share Sheet opens on the physical iPad on 2026-09-04; Save to Files/result validation remains.</x:v>
      </x:c>
      <x:c r="L22" s="29" t="n">
        <x:v>46269</x:v>
      </x:c>
    </x:row>
    <x:row r="23" ht="39.599998474121094" hidden="0" customHeight="1">
      <x:c r="A23" s="25" t="str">
        <x:v>TECH-011</x:v>
      </x:c>
      <x:c r="B23" s="21" t="str">
        <x:v>Native bridge</x:v>
      </x:c>
      <x:c r="C23" s="21" t="str">
        <x:v>Handle external dataset-source links</x:v>
      </x:c>
      <x:c r="D23" s="21" t="str">
        <x:v>Open UCI, Plotly, FiveThirtyEight, and other source links safely in an in-app browser or Safari.</x:v>
      </x:c>
      <x:c r="E23" s="27" t="str">
        <x:v>P1</x:v>
      </x:c>
      <x:c r="F23" s="27" t="str">
        <x:v>Done</x:v>
      </x:c>
      <x:c r="G23" s="21" t="str">
        <x:v>TECH-001</x:v>
      </x:c>
      <x:c r="H23" s="21" t="str">
        <x:v>Developer</x:v>
      </x:c>
      <x:c r="I23" s="21" t="str">
        <x:v>app/app-platform.js; iPad Pro 13-inch M4 (iPadOS 26.6)</x:v>
      </x:c>
      <x:c r="J23" s="21" t="str">
        <x:v>APPLE-QA</x:v>
      </x:c>
      <x:c r="K23" s="21" t="str">
        <x:v>External HTTPS links are routed through Capacitor Browser; the owner confirmed the in-app browser opens and dismisses correctly on the physical iPad on 2026-09-04.</x:v>
      </x:c>
      <x:c r="L23" s="29" t="n">
        <x:v>46269</x:v>
      </x:c>
    </x:row>
    <x:row r="24" ht="42" customHeight="1">
      <x:c r="A24" s="25" t="str">
        <x:v>TECH-012</x:v>
      </x:c>
      <x:c r="B24" s="21" t="str">
        <x:v>Persistence</x:v>
      </x:c>
      <x:c r="C24" s="21" t="str">
        <x:v>Decide and implement saved local work</x:v>
      </x:c>
      <x:c r="D24" s="21" t="str">
        <x:v>Choose whether notebooks, recent datasets, and generated outputs persist across launches; implement local storage if approved.</x:v>
      </x:c>
      <x:c r="E24" s="27" t="str">
        <x:v>P1</x:v>
      </x:c>
      <x:c r="F24" s="27" t="str">
        <x:v>Done</x:v>
      </x:c>
      <x:c r="G24" s="21" t="str">
        <x:v>DEC-003</x:v>
      </x:c>
      <x:c r="H24" s="21" t="str">
        <x:v>Developer</x:v>
      </x:c>
      <x:c r="I24" s="21" t="str">
        <x:v>app/app-platform.js; about.html; help.html; privacy.html</x:v>
      </x:c>
      <x:c r="J24" s="21" t="str">
        <x:v>PROJECT</x:v>
      </x:c>
      <x:c r="K24" s="21" t="str">
        <x:v>Session-only behavior is implemented: work remains only while the process lives; terminating/swiping away starts a fresh canvas with no notebook or recent-work history.</x:v>
      </x:c>
      <x:c r="L24" s="29" t="n">
        <x:v>46265</x:v>
      </x:c>
    </x:row>
    <x:row r="25" ht="42" customHeight="1">
      <x:c r="A25" s="25" t="str">
        <x:v>TECH-013</x:v>
      </x:c>
      <x:c r="B25" s="21" t="str">
        <x:v>Native build</x:v>
      </x:c>
      <x:c r="C25" s="21" t="str">
        <x:v>Validate the Mac delivery path</x:v>
      </x:c>
      <x:c r="D25" s="21" t="str">
        <x:v>Decide and test whether Mac users are served the browser version, the iPad app on Apple silicon, or a Mac Catalyst target.</x:v>
      </x:c>
      <x:c r="E25" s="27" t="str">
        <x:v>P1</x:v>
      </x:c>
      <x:c r="F25" s="27" t="str">
        <x:v>Done</x:v>
      </x:c>
      <x:c r="G25" s="21" t="str">
        <x:v>DEC-002</x:v>
      </x:c>
      <x:c r="H25" s="21" t="str">
        <x:v>Developer</x:v>
      </x:c>
      <x:c r="I25" s="21" t="str">
        <x:v>ios-app-architecture.md; .github/workflows/deploy-pages.yml</x:v>
      </x:c>
      <x:c r="J25" s="21" t="str">
        <x:v>APPLE-MAC</x:v>
      </x:c>
      <x:c r="K25" s="21" t="str">
        <x:v>Version 1 Mac delivery is the tested browser/GitHub Pages experience. Catalyst and iPad-on-Mac are explicitly deferred.</x:v>
      </x:c>
      <x:c r="L25" s="29" t="n">
        <x:v>46265</x:v>
      </x:c>
    </x:row>
    <x:row r="26" ht="42" customHeight="1">
      <x:c r="A26" s="25" t="str">
        <x:v>UX-001</x:v>
      </x:c>
      <x:c r="B26" s="21" t="str">
        <x:v>iOS UX</x:v>
      </x:c>
      <x:c r="C26" s="21" t="str">
        <x:v>Add app icon, launch screen, status-bar, and safe-area configuration</x:v>
      </x:c>
      <x:c r="D26" s="21" t="str">
        <x:v>Make the app feel like an iOS product from launch through the first screen and system chrome.</x:v>
      </x:c>
      <x:c r="E26" s="27" t="str">
        <x:v>P1</x:v>
      </x:c>
      <x:c r="F26" s="27" t="str">
        <x:v>In Progress</x:v>
      </x:c>
      <x:c r="G26" s="21" t="str">
        <x:v>TECH-001</x:v>
      </x:c>
      <x:c r="H26" s="21" t="str">
        <x:v>Developer</x:v>
      </x:c>
      <x:c r="I26" s="21" t="str">
        <x:v>assets/icons/; ios/App/App/Assets.xcassets; ios/App/App/Info.plist</x:v>
      </x:c>
      <x:c r="J26" s="21" t="str">
        <x:v>APPLE-ICON</x:v>
      </x:c>
      <x:c r="K26" s="21" t="str">
        <x:v>Final-direction icon, branded launch assets, status-bar configuration, and safe-area styling are installed. Simulator launch smoke loads home on iPhone 17 Pro and iPad Pro 13-inch; Home Screen/TestFlight review remains.</x:v>
      </x:c>
      <x:c r="L26" s="29" t="n">
        <x:v>46266</x:v>
      </x:c>
    </x:row>
    <x:row r="27" ht="66" hidden="0" customHeight="1">
      <x:c r="A27" s="25" t="str">
        <x:v>UX-002</x:v>
      </x:c>
      <x:c r="B27" s="21" t="str">
        <x:v>iOS UX</x:v>
      </x:c>
      <x:c r="C27" s="21" t="str">
        <x:v>Adapt editor, keyboard, touch, and viewport behaviour</x:v>
      </x:c>
      <x:c r="D27" s="21" t="str">
        <x:v>Verify code editing, scrolling, draggable/resizable workflow panels, controls, and keyboard dismissal on phone and tablet.</x:v>
      </x:c>
      <x:c r="E27" s="27" t="str">
        <x:v>P0</x:v>
      </x:c>
      <x:c r="F27" s="27" t="str">
        <x:v>In Progress</x:v>
      </x:c>
      <x:c r="G27" s="21" t="str">
        <x:v>TECH-004</x:v>
      </x:c>
      <x:c r="H27" s="21" t="str">
        <x:v>Developer</x:v>
      </x:c>
      <x:c r="I27" s="21" t="str">
        <x:v>home.css; playground.html; ml.html; iPad Pro 13-inch M4 (iPadOS 26.6)</x:v>
      </x:c>
      <x:c r="J27" s="21" t="str">
        <x:v>APPLE-QA</x:v>
      </x:c>
      <x:c r="K27" s="21" t="str">
        <x:v>Responsive and safe-area work is implemented and desktop mobile-viewport checks pass. The owner confirmed portrait/landscape rotation on the physical iPad on 2026-09-04. Independent cell/output scrolling changes are pending native-app sync and revalidation.</x:v>
      </x:c>
      <x:c r="L27" s="29" t="n">
        <x:v>46269</x:v>
      </x:c>
    </x:row>
    <x:row r="28" ht="42" customHeight="1">
      <x:c r="A28" s="25" t="str">
        <x:v>UX-003</x:v>
      </x:c>
      <x:c r="B28" s="21" t="str">
        <x:v>iOS UX</x:v>
      </x:c>
      <x:c r="C28" s="21" t="str">
        <x:v>Run accessibility pass</x:v>
      </x:c>
      <x:c r="D28" s="21" t="str">
        <x:v>Test VoiceOver, focus order, touch target sizes, contrast, reduced motion, Dynamic Type implications, and error announcements.</x:v>
      </x:c>
      <x:c r="E28" s="27" t="str">
        <x:v>P1</x:v>
      </x:c>
      <x:c r="F28" s="27" t="str">
        <x:v>Not Started</x:v>
      </x:c>
      <x:c r="G28" s="21" t="str">
        <x:v>UX-002</x:v>
      </x:c>
      <x:c r="H28" s="21" t="str">
        <x:v>Developer</x:v>
      </x:c>
      <x:c r="I28" s="21" t="str"/>
      <x:c r="J28" s="21" t="str">
        <x:v>APPLE-REVIEW</x:v>
      </x:c>
      <x:c r="K28" s="21" t="str">
        <x:v>Keep existing semantic labels and live regions working in the app shell.</x:v>
      </x:c>
      <x:c r="L28" s="29" t="n">
        <x:v>46265</x:v>
      </x:c>
    </x:row>
    <x:row r="29" ht="42" customHeight="1">
      <x:c r="A29" s="25" t="str">
        <x:v>UX-004</x:v>
      </x:c>
      <x:c r="B29" s="21" t="str">
        <x:v>iOS UX</x:v>
      </x:c>
      <x:c r="C29" s="21" t="str">
        <x:v>Add About, Privacy, Help, and Support surfaces</x:v>
      </x:c>
      <x:c r="D29" s="21" t="str">
        <x:v>Give reviewers and users a clear path to product information, privacy terms, troubleshooting, and contact details.</x:v>
      </x:c>
      <x:c r="E29" s="27" t="str">
        <x:v>P1</x:v>
      </x:c>
      <x:c r="F29" s="27" t="str">
        <x:v>Done</x:v>
      </x:c>
      <x:c r="G29" s="21" t="str">
        <x:v>DEC-003</x:v>
      </x:c>
      <x:c r="H29" s="21" t="str">
        <x:v>Project owner</x:v>
      </x:c>
      <x:c r="I29" s="21" t="str">
        <x:v>about.html; help.html; privacy.html</x:v>
      </x:c>
      <x:c r="J29" s="21" t="str">
        <x:v>APPLE-META</x:v>
      </x:c>
      <x:c r="K29" s="21" t="str">
        <x:v>About, Privacy, Help, and Support surfaces are linked and use the confirmed contact details.</x:v>
      </x:c>
      <x:c r="L29" s="29" t="n">
        <x:v>46265</x:v>
      </x:c>
    </x:row>
    <x:row r="30" ht="42" customHeight="1">
      <x:c r="A30" s="25" t="str">
        <x:v>UX-005</x:v>
      </x:c>
      <x:c r="B30" s="21" t="str">
        <x:v>iOS UX</x:v>
      </x:c>
      <x:c r="C30" s="21" t="str">
        <x:v>Adapt Mac keyboard, pointer, window, and menu behaviour</x:v>
      </x:c>
      <x:c r="D30" s="21" t="str">
        <x:v>If a Mac App Store/Catalyst surface is shipped, verify mouse, keyboard shortcuts, resizing, focus, menus, and export flows.</x:v>
      </x:c>
      <x:c r="E30" s="27" t="str">
        <x:v>P1</x:v>
      </x:c>
      <x:c r="F30" s="27" t="str">
        <x:v>Not Started</x:v>
      </x:c>
      <x:c r="G30" s="21" t="str">
        <x:v>TECH-013</x:v>
      </x:c>
      <x:c r="H30" s="21" t="str">
        <x:v>Developer</x:v>
      </x:c>
      <x:c r="I30" s="21" t="str"/>
      <x:c r="J30" s="21" t="str">
        <x:v>APPLE-MAC</x:v>
      </x:c>
      <x:c r="K30" s="21" t="str">
        <x:v>Keep the browser experience as the baseline computer surface.</x:v>
      </x:c>
      <x:c r="L30" s="29" t="n">
        <x:v>46265</x:v>
      </x:c>
    </x:row>
    <x:row r="31" ht="42" customHeight="1">
      <x:c r="A31" s="25" t="str">
        <x:v>PRIV-001</x:v>
      </x:c>
      <x:c r="B31" s="21" t="str">
        <x:v>Privacy</x:v>
      </x:c>
      <x:c r="C31" s="21" t="str">
        <x:v>Publish a public privacy policy</x:v>
      </x:c>
      <x:c r="D31" s="21" t="str">
        <x:v>Create a publicly accessible privacy policy URL that describes local processing, third-party requests, uploads, and retention.</x:v>
      </x:c>
      <x:c r="E31" s="27" t="str">
        <x:v>P0</x:v>
      </x:c>
      <x:c r="F31" s="27" t="str">
        <x:v>In Progress</x:v>
      </x:c>
      <x:c r="G31" s="21" t="str">
        <x:v>UX-004</x:v>
      </x:c>
      <x:c r="H31" s="21" t="str">
        <x:v>Project owner</x:v>
      </x:c>
      <x:c r="I31" s="21" t="str">
        <x:v>privacy-policy-draft.md; ../privacy.html</x:v>
      </x:c>
      <x:c r="J31" s="21" t="str">
        <x:v>APPLE-PRIVACY</x:v>
      </x:c>
      <x:c r="K31" s="21" t="str">
        <x:v>Policy page source created and linked from the GitHub Pages site; after deployment, record the public URL and complete owner/native-SDK review.</x:v>
      </x:c>
      <x:c r="L31" s="29" t="n">
        <x:v>46265</x:v>
      </x:c>
    </x:row>
    <x:row r="32" ht="42" customHeight="1">
      <x:c r="A32" s="25" t="str">
        <x:v>PRIV-002</x:v>
      </x:c>
      <x:c r="B32" s="21" t="str">
        <x:v>Privacy</x:v>
      </x:c>
      <x:c r="C32" s="21" t="str">
        <x:v>Audit app and third-party data flows</x:v>
      </x:c>
      <x:c r="D32" s="21" t="str">
        <x:v>List every data type transmitted or retained by the app, including SDKs, fonts, runtime downloads, analytics, and crash reporting.</x:v>
      </x:c>
      <x:c r="E32" s="27" t="str">
        <x:v>P0</x:v>
      </x:c>
      <x:c r="F32" s="27" t="str">
        <x:v>Done</x:v>
      </x:c>
      <x:c r="G32" s="21" t="str">
        <x:v>TECH-006</x:v>
      </x:c>
      <x:c r="H32" s="21" t="str">
        <x:v>Developer</x:v>
      </x:c>
      <x:c r="I32" s="21" t="str">
        <x:v>data-flow-audit.md</x:v>
      </x:c>
      <x:c r="J32" s="21" t="str">
        <x:v>APPLE-PRIVACY</x:v>
      </x:c>
      <x:c r="K32" s="21" t="str">
        <x:v>Current web/native data flows and advertising boundary are documented; re-audit after adding any SDK.</x:v>
      </x:c>
      <x:c r="L32" s="29" t="n">
        <x:v>46265</x:v>
      </x:c>
    </x:row>
    <x:row r="33" ht="42" customHeight="1">
      <x:c r="A33" s="25" t="str">
        <x:v>PRIV-003</x:v>
      </x:c>
      <x:c r="B33" s="21" t="str">
        <x:v>Privacy</x:v>
      </x:c>
      <x:c r="C33" s="21" t="str">
        <x:v>Add a valid PrivacyInfo.xcprivacy</x:v>
      </x:c>
      <x:c r="D33" s="21" t="str">
        <x:v>Declare collected data and required-reason API use for the app and validate all bundled SDK manifests.</x:v>
      </x:c>
      <x:c r="E33" s="27" t="str">
        <x:v>P0</x:v>
      </x:c>
      <x:c r="F33" s="27" t="str">
        <x:v>In Progress</x:v>
      </x:c>
      <x:c r="G33" s="21" t="str">
        <x:v>PRIV-002</x:v>
      </x:c>
      <x:c r="H33" s="21" t="str">
        <x:v>Developer</x:v>
      </x:c>
      <x:c r="I33" s="21" t="str">
        <x:v>ios/App/App/PrivacyInfo.xcprivacy</x:v>
      </x:c>
      <x:c r="J33" s="21" t="str">
        <x:v>APPLE-MANIFEST</x:v>
      </x:c>
      <x:c r="K33" s="21" t="str">
        <x:v>Initial required-reason manifest is valid XML and included in the Xcode resources. Final archive/SDK manifest validation remains.</x:v>
      </x:c>
      <x:c r="L33" s="29" t="n">
        <x:v>46265</x:v>
      </x:c>
    </x:row>
    <x:row r="34" ht="42" customHeight="1">
      <x:c r="A34" s="25" t="str">
        <x:v>PRIV-004</x:v>
      </x:c>
      <x:c r="B34" s="21" t="str">
        <x:v>Privacy</x:v>
      </x:c>
      <x:c r="C34" s="21" t="str">
        <x:v>Decide whether tracking/analytics is included</x:v>
      </x:c>
      <x:c r="D34" s="21" t="str">
        <x:v>If tracking is used, provide the required purpose string, ATT flow, and privacy-label disclosures; otherwise keep the first release tracker-free.</x:v>
      </x:c>
      <x:c r="E34" s="27" t="str">
        <x:v>P1</x:v>
      </x:c>
      <x:c r="F34" s="27" t="str">
        <x:v>Done</x:v>
      </x:c>
      <x:c r="G34" s="21" t="str">
        <x:v>PRIV-002</x:v>
      </x:c>
      <x:c r="H34" s="21" t="str">
        <x:v>Project owner</x:v>
      </x:c>
      <x:c r="I34" s="21" t="str">
        <x:v>ads-and-consent-plan.md</x:v>
      </x:c>
      <x:c r="J34" s="21" t="str">
        <x:v>APPLE-ATT</x:v>
      </x:c>
      <x:c r="K34" s="21" t="str">
        <x:v>Approved: no analytics or cross-app tracking initially; advertising remains separate and requires its own privacy review.</x:v>
      </x:c>
      <x:c r="L34" s="29" t="n">
        <x:v>46265</x:v>
      </x:c>
    </x:row>
    <x:row r="35" ht="42" customHeight="1">
      <x:c r="A35" s="25" t="str">
        <x:v>PRIV-005</x:v>
      </x:c>
      <x:c r="B35" s="21" t="str">
        <x:v>Rights</x:v>
      </x:c>
      <x:c r="C35" s="21" t="str">
        <x:v>Verify dataset, font, and package licenses</x:v>
      </x:c>
      <x:c r="D35" s="21" t="str">
        <x:v>Confirm redistribution rights and attribution for bundled datasets, fonts, Pyodide, Python packages, and third-party code.</x:v>
      </x:c>
      <x:c r="E35" s="27" t="str">
        <x:v>P0</x:v>
      </x:c>
      <x:c r="F35" s="27" t="str">
        <x:v>In Progress</x:v>
      </x:c>
      <x:c r="G35" s="21" t="str">
        <x:v>TECH-006</x:v>
      </x:c>
      <x:c r="H35" s="21" t="str">
        <x:v>Project owner</x:v>
      </x:c>
      <x:c r="I35" s="21" t="str">
        <x:v>acknowledgements.html; assets/licenses/manifest.json; third-party-rights-and-licenses.md</x:v>
      </x:c>
      <x:c r="J35" s="21" t="str">
        <x:v>APPLE-RIGHTS</x:v>
      </x:c>
      <x:c r="K35" s="21" t="str">
        <x:v>Public credits and 52 exact notices cover datasets, fonts, Capacitor, and Python wheels. Final Palmer publication-policy and release-archive reconciliation remain.</x:v>
      </x:c>
      <x:c r="L35" s="29" t="n">
        <x:v>46265</x:v>
      </x:c>
    </x:row>
    <x:row r="36" ht="42" customHeight="1">
      <x:c r="A36" s="25" t="str">
        <x:v>ADS-001</x:v>
      </x:c>
      <x:c r="B36" s="21" t="str">
        <x:v>Advertising</x:v>
      </x:c>
      <x:c r="C36" s="21" t="str">
        <x:v>Choose the first ad format and placement</x:v>
      </x:c>
      <x:c r="D36" s="21" t="str">
        <x:v>Decide whether to use a non-blocking banner or native placement and where it can appear without obstructing learning workflows.</x:v>
      </x:c>
      <x:c r="E36" s="27" t="str">
        <x:v>P1</x:v>
      </x:c>
      <x:c r="F36" s="27" t="str">
        <x:v>Done</x:v>
      </x:c>
      <x:c r="G36" s="21" t="str">
        <x:v>DEC-003</x:v>
      </x:c>
      <x:c r="H36" s="21" t="str">
        <x:v>Project owner</x:v>
      </x:c>
      <x:c r="I36" s="21" t="str">
        <x:v>ads-and-consent-plan.md</x:v>
      </x:c>
      <x:c r="J36" s="21" t="str">
        <x:v>ADS-ADMOB</x:v>
      </x:c>
      <x:c r="K36" s="21" t="str">
        <x:v>Google AdMob selected for a later integration; version 1 uses banner ads only, with no timed or workflow-interrupting interstitials.</x:v>
      </x:c>
      <x:c r="L36" s="29" t="n">
        <x:v>46265</x:v>
      </x:c>
    </x:row>
    <x:row r="37" ht="42" customHeight="1">
      <x:c r="A37" s="25" t="str">
        <x:v>ADS-002</x:v>
      </x:c>
      <x:c r="B37" s="21" t="str">
        <x:v>Advertising</x:v>
      </x:c>
      <x:c r="C37" s="21" t="str">
        <x:v>Create the ad-network account and ad units</x:v>
      </x:c>
      <x:c r="D37" s="21" t="str">
        <x:v>Open the selected provider account, register the app surfaces as needed, and create production and test ad-unit IDs.</x:v>
      </x:c>
      <x:c r="E37" s="27" t="str">
        <x:v>P1</x:v>
      </x:c>
      <x:c r="F37" s="27" t="str">
        <x:v>Needs User Info</x:v>
      </x:c>
      <x:c r="G37" s="21" t="str">
        <x:v>ADS-001</x:v>
      </x:c>
      <x:c r="H37" s="21" t="str">
        <x:v>Project owner</x:v>
      </x:c>
      <x:c r="I37" s="21" t="str">
        <x:v>ads-and-consent-plan.md</x:v>
      </x:c>
      <x:c r="J37" s="21" t="str">
        <x:v>ADS-ADMOB</x:v>
      </x:c>
      <x:c r="K37" s="21" t="str">
        <x:v>Owner must create/verify the AdMob payment profile, register the final app, and provide test/production banner ad-unit IDs.</x:v>
      </x:c>
      <x:c r="L37" s="29" t="n">
        <x:v>46265</x:v>
      </x:c>
    </x:row>
    <x:row r="38" ht="42" customHeight="1">
      <x:c r="A38" s="25" t="str">
        <x:v>ADS-003</x:v>
      </x:c>
      <x:c r="B38" s="21" t="str">
        <x:v>Advertising</x:v>
      </x:c>
      <x:c r="C38" s="21" t="str">
        <x:v>Integrate ads with consent and a non-personalized default</x:v>
      </x:c>
      <x:c r="D38" s="21" t="str">
        <x:v>Add the selected ad SDK, consent flow, test IDs, and a default that does not use cross-app tracking until separately approved.</x:v>
      </x:c>
      <x:c r="E38" s="27" t="str">
        <x:v>P0</x:v>
      </x:c>
      <x:c r="F38" s="27" t="str">
        <x:v>Not Started</x:v>
      </x:c>
      <x:c r="G38" s="21" t="str">
        <x:v>ADS-002</x:v>
      </x:c>
      <x:c r="H38" s="21" t="str">
        <x:v>Developer</x:v>
      </x:c>
      <x:c r="I38" s="21" t="str"/>
      <x:c r="J38" s="21" t="str">
        <x:v>ADS-CONSENT</x:v>
      </x:c>
      <x:c r="K38" s="21" t="str">
        <x:v>Ad SDK integration may still create privacy-label obligations even without analytics.</x:v>
      </x:c>
      <x:c r="L38" s="29" t="n">
        <x:v>46265</x:v>
      </x:c>
    </x:row>
    <x:row r="39" ht="42" customHeight="1">
      <x:c r="A39" s="25" t="str">
        <x:v>ADS-004</x:v>
      </x:c>
      <x:c r="B39" s="21" t="str">
        <x:v>Advertising</x:v>
      </x:c>
      <x:c r="C39" s="21" t="str">
        <x:v>Update privacy policy, labels, and manifests for advertising</x:v>
      </x:c>
      <x:c r="D39" s="21" t="str">
        <x:v>Document ad data flows and update the public policy, App Store privacy answers, PrivacyInfo.xcprivacy, and any required ATT messaging.</x:v>
      </x:c>
      <x:c r="E39" s="27" t="str">
        <x:v>P0</x:v>
      </x:c>
      <x:c r="F39" s="27" t="str">
        <x:v>Not Started</x:v>
      </x:c>
      <x:c r="G39" s="21" t="str">
        <x:v>ADS-003</x:v>
      </x:c>
      <x:c r="H39" s="21" t="str">
        <x:v>Developer</x:v>
      </x:c>
      <x:c r="I39" s="21" t="str"/>
      <x:c r="J39" s="21" t="str">
        <x:v>APPLE-PRIVACY</x:v>
      </x:c>
      <x:c r="K39" s="21" t="str">
        <x:v>Do not publish ads until actual SDK data practices are reflected.</x:v>
      </x:c>
      <x:c r="L39" s="29" t="n">
        <x:v>46265</x:v>
      </x:c>
    </x:row>
    <x:row r="40" ht="42" customHeight="1">
      <x:c r="A40" s="25" t="str">
        <x:v>ADS-005</x:v>
      </x:c>
      <x:c r="B40" s="21" t="str">
        <x:v>Advertising</x:v>
      </x:c>
      <x:c r="C40" s="21" t="str">
        <x:v>Test ad placement and App Review compliance</x:v>
      </x:c>
      <x:c r="D40" s="21" t="str">
        <x:v>Verify ads are age-appropriate, labelled, dismissible, non-blocking, and never targeted from uploaded dataset contents or sensitive learning activity.</x:v>
      </x:c>
      <x:c r="E40" s="27" t="str">
        <x:v>P1</x:v>
      </x:c>
      <x:c r="F40" s="27" t="str">
        <x:v>Not Started</x:v>
      </x:c>
      <x:c r="G40" s="21" t="str">
        <x:v>ADS-003</x:v>
      </x:c>
      <x:c r="H40" s="21" t="str">
        <x:v>QA</x:v>
      </x:c>
      <x:c r="I40" s="21" t="str"/>
      <x:c r="J40" s="21" t="str">
        <x:v>APPLE-REVIEW</x:v>
      </x:c>
      <x:c r="K40" s="21" t="str">
        <x:v>Test on iPhone, iPad, and the chosen Mac delivery path.</x:v>
      </x:c>
      <x:c r="L40" s="29" t="n">
        <x:v>46265</x:v>
      </x:c>
    </x:row>
    <x:row r="41" ht="42" customHeight="1">
      <x:c r="A41" s="25" t="str">
        <x:v>ACCT-001</x:v>
      </x:c>
      <x:c r="B41" s="21" t="str">
        <x:v>Conditional</x:v>
      </x:c>
      <x:c r="C41" s="21" t="str">
        <x:v>Implement account/authentication only if scope changes</x:v>
      </x:c>
      <x:c r="D41" s="21" t="str">
        <x:v>If cloud sync or accounts are added, design authentication, session security, and reviewer access before submission.</x:v>
      </x:c>
      <x:c r="E41" s="27" t="str">
        <x:v>P2</x:v>
      </x:c>
      <x:c r="F41" s="27" t="str">
        <x:v>Not Started</x:v>
      </x:c>
      <x:c r="G41" s="21" t="str">
        <x:v>DEC-003</x:v>
      </x:c>
      <x:c r="H41" s="21" t="str">
        <x:v>Developer</x:v>
      </x:c>
      <x:c r="I41" s="21" t="str"/>
      <x:c r="J41" s="21" t="str">
        <x:v>APPLE-LOGIN</x:v>
      </x:c>
      <x:c r="K41" s="21" t="str">
        <x:v>Not required for the current no-account scope.</x:v>
      </x:c>
      <x:c r="L41" s="29" t="n">
        <x:v>46265</x:v>
      </x:c>
    </x:row>
    <x:row r="42" ht="42" customHeight="1">
      <x:c r="A42" s="25" t="str">
        <x:v>ACCT-002</x:v>
      </x:c>
      <x:c r="B42" s="21" t="str">
        <x:v>Conditional</x:v>
      </x:c>
      <x:c r="C42" s="21" t="str">
        <x:v>Add Sign in with Apple if required</x:v>
      </x:c>
      <x:c r="D42" s="21" t="str">
        <x:v>If a third-party/social login is used for the primary account, include an equivalent Apple login path where required.</x:v>
      </x:c>
      <x:c r="E42" s="27" t="str">
        <x:v>P2</x:v>
      </x:c>
      <x:c r="F42" s="27" t="str">
        <x:v>Not Started</x:v>
      </x:c>
      <x:c r="G42" s="21" t="str">
        <x:v>ACCT-001</x:v>
      </x:c>
      <x:c r="H42" s="21" t="str">
        <x:v>Developer</x:v>
      </x:c>
      <x:c r="I42" s="21" t="str"/>
      <x:c r="J42" s="21" t="str">
        <x:v>APPLE-LOGIN</x:v>
      </x:c>
      <x:c r="K42" s="21" t="str">
        <x:v>Conditional task; leave untouched for a no-account release.</x:v>
      </x:c>
      <x:c r="L42" s="29" t="n">
        <x:v>46265</x:v>
      </x:c>
    </x:row>
    <x:row r="43" ht="42" customHeight="1">
      <x:c r="A43" s="25" t="str">
        <x:v>ACCT-003</x:v>
      </x:c>
      <x:c r="B43" s="21" t="str">
        <x:v>Conditional</x:v>
      </x:c>
      <x:c r="C43" s="21" t="str">
        <x:v>Add in-app account deletion if accounts exist</x:v>
      </x:c>
      <x:c r="D43" s="21" t="str">
        <x:v>Provide a clear in-app flow to delete the account and associated data, subject to lawful retention.</x:v>
      </x:c>
      <x:c r="E43" s="27" t="str">
        <x:v>P2</x:v>
      </x:c>
      <x:c r="F43" s="27" t="str">
        <x:v>Not Started</x:v>
      </x:c>
      <x:c r="G43" s="21" t="str">
        <x:v>ACCT-001</x:v>
      </x:c>
      <x:c r="H43" s="21" t="str">
        <x:v>Developer</x:v>
      </x:c>
      <x:c r="I43" s="21" t="str"/>
      <x:c r="J43" s="21" t="str">
        <x:v>APPLE-DELETE</x:v>
      </x:c>
      <x:c r="K43" s="21" t="str">
        <x:v>Conditional task; leave untouched for a no-account release.</x:v>
      </x:c>
      <x:c r="L43" s="29" t="n">
        <x:v>46265</x:v>
      </x:c>
    </x:row>
    <x:row r="44" ht="42" customHeight="1">
      <x:c r="A44" s="25" t="str">
        <x:v>BIZ-001</x:v>
      </x:c>
      <x:c r="B44" s="21" t="str">
        <x:v>Conditional</x:v>
      </x:c>
      <x:c r="C44" s="21" t="str">
        <x:v>Use StoreKit for digital unlocks/subscriptions</x:v>
      </x:c>
      <x:c r="D44" s="21" t="str">
        <x:v>If paid lessons, subscriptions, or digital features are sold in the app, implement and test Apple In-App Purchase.</x:v>
      </x:c>
      <x:c r="E44" s="27" t="str">
        <x:v>P2</x:v>
      </x:c>
      <x:c r="F44" s="27" t="str">
        <x:v>Not Started</x:v>
      </x:c>
      <x:c r="G44" s="21" t="str">
        <x:v>DEC-003</x:v>
      </x:c>
      <x:c r="H44" s="21" t="str">
        <x:v>Developer</x:v>
      </x:c>
      <x:c r="I44" s="21" t="str"/>
      <x:c r="J44" s="21" t="str">
        <x:v>APPLE-IAP</x:v>
      </x:c>
      <x:c r="K44" s="21" t="str">
        <x:v>Current draft assumes a free app.</x:v>
      </x:c>
      <x:c r="L44" s="29" t="n">
        <x:v>46265</x:v>
      </x:c>
    </x:row>
    <x:row r="45" ht="42" customHeight="1">
      <x:c r="A45" s="25" t="str">
        <x:v>STORE-001</x:v>
      </x:c>
      <x:c r="B45" s="21" t="str">
        <x:v>App Store</x:v>
      </x:c>
      <x:c r="C45" s="21" t="str">
        <x:v>Enroll in the Apple Developer Program</x:v>
      </x:c>
      <x:c r="D45" s="21" t="str">
        <x:v>Maintain an active membership and complete identity/organization verification needed to sign and distribute the app.</x:v>
      </x:c>
      <x:c r="E45" s="27" t="str">
        <x:v>P0</x:v>
      </x:c>
      <x:c r="F45" s="27" t="str">
        <x:v>Not Started</x:v>
      </x:c>
      <x:c r="G45" s="21" t="str">
        <x:v>DEC-001</x:v>
      </x:c>
      <x:c r="H45" s="21" t="str">
        <x:v>Project owner</x:v>
      </x:c>
      <x:c r="I45" s="21" t="str"/>
      <x:c r="J45" s="21" t="str">
        <x:v>APPLE-ACCOUNT</x:v>
      </x:c>
      <x:c r="K45" s="21" t="str">
        <x:v>Apple currently lists a $99 USD annual membership.</x:v>
      </x:c>
      <x:c r="L45" s="29" t="n">
        <x:v>46265</x:v>
      </x:c>
    </x:row>
    <x:row r="46" ht="42" customHeight="1">
      <x:c r="A46" s="25" t="str">
        <x:v>STORE-002</x:v>
      </x:c>
      <x:c r="B46" s="21" t="str">
        <x:v>App Store</x:v>
      </x:c>
      <x:c r="C46" s="21" t="str">
        <x:v>Create the App Store Connect app record</x:v>
      </x:c>
      <x:c r="D46" s="21" t="str">
        <x:v>Create the app record, attach the bundle ID, and configure the iOS platform before selecting a build.</x:v>
      </x:c>
      <x:c r="E46" s="27" t="str">
        <x:v>P0</x:v>
      </x:c>
      <x:c r="F46" s="27" t="str">
        <x:v>Not Started</x:v>
      </x:c>
      <x:c r="G46" s="21" t="str">
        <x:v>TECH-002</x:v>
      </x:c>
      <x:c r="H46" s="21" t="str">
        <x:v>Project owner</x:v>
      </x:c>
      <x:c r="I46" s="21" t="str"/>
      <x:c r="J46" s="21" t="str">
        <x:v>APPLE-SUBMIT</x:v>
      </x:c>
      <x:c r="K46" s="21" t="str">
        <x:v>Requires final name, bundle ID, and primary language.</x:v>
      </x:c>
      <x:c r="L46" s="29" t="n">
        <x:v>46265</x:v>
      </x:c>
    </x:row>
    <x:row r="47" ht="42" customHeight="1">
      <x:c r="A47" s="25" t="str">
        <x:v>STORE-003</x:v>
      </x:c>
      <x:c r="B47" s="21" t="str">
        <x:v>App Store</x:v>
      </x:c>
      <x:c r="C47" s="21" t="str">
        <x:v>Finalize listing metadata</x:v>
      </x:c>
      <x:c r="D47" s="21" t="str">
        <x:v>Finalize name, subtitle, description, keywords, categories, copyright, support URL, privacy URL, and localization choices.</x:v>
      </x:c>
      <x:c r="E47" s="27" t="str">
        <x:v>P1</x:v>
      </x:c>
      <x:c r="F47" s="27" t="str">
        <x:v>In Progress</x:v>
      </x:c>
      <x:c r="G47" s="21" t="str">
        <x:v>PLAN-004</x:v>
      </x:c>
      <x:c r="H47" s="21" t="str">
        <x:v>Project owner</x:v>
      </x:c>
      <x:c r="I47" s="21" t="str">
        <x:v>app-store-listing-draft.md; about.html; help.html</x:v>
      </x:c>
      <x:c r="J47" s="21" t="str">
        <x:v>APPLE-META</x:v>
      </x:c>
      <x:c r="K47" s="21" t="str">
        <x:v>Confirmed bundle ID and support contact added. Final URLs, name/trademark, localization, and store fields remain.</x:v>
      </x:c>
      <x:c r="L47" s="29" t="n">
        <x:v>46265</x:v>
      </x:c>
    </x:row>
    <x:row r="48" ht="42" customHeight="1">
      <x:c r="A48" s="25" t="str">
        <x:v>STORE-004</x:v>
      </x:c>
      <x:c r="B48" s="21" t="str">
        <x:v>App Store</x:v>
      </x:c>
      <x:c r="C48" s="21" t="str">
        <x:v>Create final icon and launch assets</x:v>
      </x:c>
      <x:c r="D48" s="21" t="str">
        <x:v>Produce an Xcode/Icon Composer-ready icon set and launch screen that match the approved brief.</x:v>
      </x:c>
      <x:c r="E48" s="27" t="str">
        <x:v>P1</x:v>
      </x:c>
      <x:c r="F48" s="27" t="str">
        <x:v>Done</x:v>
      </x:c>
      <x:c r="G48" s="21" t="str">
        <x:v>PLAN-005</x:v>
      </x:c>
      <x:c r="H48" s="21" t="str">
        <x:v>Designer</x:v>
      </x:c>
      <x:c r="I48" s="21" t="str">
        <x:v>assets/icons/; ios/App/App/Assets.xcassets</x:v>
      </x:c>
      <x:c r="J48" s="21" t="str">
        <x:v>APPLE-ICON</x:v>
      </x:c>
      <x:c r="K48" s="21" t="str">
        <x:v>1024/512/192/180 px icon assets and branded Xcode launch images are created and installed.</x:v>
      </x:c>
      <x:c r="L48" s="29" t="n">
        <x:v>46265</x:v>
      </x:c>
    </x:row>
    <x:row r="49" ht="42" customHeight="1">
      <x:c r="A49" s="25" t="str">
        <x:v>STORE-005</x:v>
      </x:c>
      <x:c r="B49" s="21" t="str">
        <x:v>App Store</x:v>
      </x:c>
      <x:c r="C49" s="21" t="str">
        <x:v>Capture App Store screenshots and optional preview</x:v>
      </x:c>
      <x:c r="D49" s="21" t="str">
        <x:v>Capture representative iPhone screenshots and iPad screenshots if iPad is supported; ensure no placeholders or private data appear.</x:v>
      </x:c>
      <x:c r="E49" s="27" t="str">
        <x:v>P1</x:v>
      </x:c>
      <x:c r="F49" s="27" t="str">
        <x:v>Not Started</x:v>
      </x:c>
      <x:c r="G49" s="21" t="str">
        <x:v>DEC-002</x:v>
      </x:c>
      <x:c r="H49" s="21" t="str">
        <x:v>Developer</x:v>
      </x:c>
      <x:c r="I49" s="21" t="str"/>
      <x:c r="J49" s="21" t="str">
        <x:v>APPLE-SCREENSHOTS</x:v>
      </x:c>
      <x:c r="K49" s="21" t="str">
        <x:v>Use the final tested build and current screenshot dimensions.</x:v>
      </x:c>
      <x:c r="L49" s="29" t="n">
        <x:v>46265</x:v>
      </x:c>
    </x:row>
    <x:row r="50" ht="42" customHeight="1">
      <x:c r="A50" s="25" t="str">
        <x:v>STORE-006</x:v>
      </x:c>
      <x:c r="B50" s="21" t="str">
        <x:v>App Store</x:v>
      </x:c>
      <x:c r="C50" s="21" t="str">
        <x:v>Complete rating, rights, categories, price, and availability</x:v>
      </x:c>
      <x:c r="D50" s="21" t="str">
        <x:v>Answer the age-rating questionnaire, declare content rights, choose categories, set price/regions, and complete applicable regional declarations.</x:v>
      </x:c>
      <x:c r="E50" s="27" t="str">
        <x:v>P1</x:v>
      </x:c>
      <x:c r="F50" s="27" t="str">
        <x:v>Not Started</x:v>
      </x:c>
      <x:c r="G50" s="21" t="str">
        <x:v>STORE-003</x:v>
      </x:c>
      <x:c r="H50" s="21" t="str">
        <x:v>Project owner</x:v>
      </x:c>
      <x:c r="I50" s="21" t="str"/>
      <x:c r="J50" s="21" t="str">
        <x:v>APPLE-META</x:v>
      </x:c>
      <x:c r="K50" s="21" t="str">
        <x:v>Age rating and content-rights declarations are required for release.</x:v>
      </x:c>
      <x:c r="L50" s="29" t="n">
        <x:v>46265</x:v>
      </x:c>
    </x:row>
    <x:row r="51" ht="42" customHeight="1">
      <x:c r="A51" s="25" t="str">
        <x:v>STORE-007</x:v>
      </x:c>
      <x:c r="B51" s="21" t="str">
        <x:v>App Store</x:v>
      </x:c>
      <x:c r="C51" s="21" t="str">
        <x:v>Complete export-compliance questions</x:v>
      </x:c>
      <x:c r="D51" s="21" t="str">
        <x:v>Determine whether the app's HTTPS, runtime, or other encryption use requires a declaration or documentation.</x:v>
      </x:c>
      <x:c r="E51" s="27" t="str">
        <x:v>P1</x:v>
      </x:c>
      <x:c r="F51" s="27" t="str">
        <x:v>In Progress</x:v>
      </x:c>
      <x:c r="G51" s="21" t="str">
        <x:v>TECH-001</x:v>
      </x:c>
      <x:c r="H51" s="21" t="str">
        <x:v>Project owner</x:v>
      </x:c>
      <x:c r="I51" s="21" t="str">
        <x:v>export-compliance-notes.md</x:v>
      </x:c>
      <x:c r="J51" s="21" t="str">
        <x:v>APPLE-EXPORT</x:v>
      </x:c>
      <x:c r="K51" s="21" t="str">
        <x:v>Working encryption analysis recorded. Final answer must be confirmed from the submitted archive and SDK set.</x:v>
      </x:c>
      <x:c r="L51" s="29" t="n">
        <x:v>46265</x:v>
      </x:c>
    </x:row>
    <x:row r="52" ht="42" customHeight="1">
      <x:c r="A52" s="25" t="str">
        <x:v>STORE-008</x:v>
      </x:c>
      <x:c r="B52" s="21" t="str">
        <x:v>App Store</x:v>
      </x:c>
      <x:c r="C52" s="21" t="str">
        <x:v>Prepare App Review notes and demo access</x:v>
      </x:c>
      <x:c r="D52" s="21" t="str">
        <x:v>Provide accurate reviewer contact details, instructions, special configuration, and a working demo account if login is introduced.</x:v>
      </x:c>
      <x:c r="E52" s="27" t="str">
        <x:v>P1</x:v>
      </x:c>
      <x:c r="F52" s="27" t="str">
        <x:v>Done</x:v>
      </x:c>
      <x:c r="G52" s="21" t="str">
        <x:v>UX-004</x:v>
      </x:c>
      <x:c r="H52" s="21" t="str">
        <x:v>Project owner</x:v>
      </x:c>
      <x:c r="I52" s="21" t="str">
        <x:v>app-review-notes-draft.md</x:v>
      </x:c>
      <x:c r="J52" s="21" t="str">
        <x:v>APPLE-REVIEW</x:v>
      </x:c>
      <x:c r="K52" s="21" t="str">
        <x:v>No-account review path and confirmed review contact are drafted; final build and live URLs must be inserted before submission.</x:v>
      </x:c>
      <x:c r="L52" s="29" t="n">
        <x:v>46265</x:v>
      </x:c>
    </x:row>
    <x:row r="53" ht="42" customHeight="1">
      <x:c r="A53" s="25" t="str">
        <x:v>QA-001</x:v>
      </x:c>
      <x:c r="B53" s="21" t="str">
        <x:v>Testing</x:v>
      </x:c>
      <x:c r="C53" s="21" t="str">
        <x:v>Distribute a TestFlight build</x:v>
      </x:c>
      <x:c r="D53" s="21" t="str">
        <x:v>Upload a signed beta build, provide test information, and invite internal/external testers as needed.</x:v>
      </x:c>
      <x:c r="E53" s="27" t="str">
        <x:v>P0</x:v>
      </x:c>
      <x:c r="F53" s="27" t="str">
        <x:v>Not Started</x:v>
      </x:c>
      <x:c r="G53" s="21" t="str">
        <x:v>STORE-001</x:v>
      </x:c>
      <x:c r="H53" s="21" t="str">
        <x:v>Developer</x:v>
      </x:c>
      <x:c r="I53" s="21" t="str"/>
      <x:c r="J53" s="21" t="str">
        <x:v>APPLE-TESTFLIGHT</x:v>
      </x:c>
      <x:c r="K53" s="21" t="str">
        <x:v>Use TestFlight before App Review submission.</x:v>
      </x:c>
      <x:c r="L53" s="29" t="n">
        <x:v>46265</x:v>
      </x:c>
    </x:row>
    <x:row r="54" ht="79.19999694824219" hidden="0" customHeight="1">
      <x:c r="A54" s="25" t="str">
        <x:v>QA-002</x:v>
      </x:c>
      <x:c r="B54" s="21" t="str">
        <x:v>Testing</x:v>
      </x:c>
      <x:c r="C54" s="21" t="str">
        <x:v>Test clean install and offline/online transitions</x:v>
      </x:c>
      <x:c r="D54" s="21" t="str">
        <x:v>Verify first launch, runtime loading, network denial, airplane mode, retry, resume, and relaunch behaviour.</x:v>
      </x:c>
      <x:c r="E54" s="27" t="str">
        <x:v>P0</x:v>
      </x:c>
      <x:c r="F54" s="27" t="str">
        <x:v>In Progress</x:v>
      </x:c>
      <x:c r="G54" s="21" t="str">
        <x:v>TECH-007</x:v>
      </x:c>
      <x:c r="H54" s="21" t="str">
        <x:v>QA</x:v>
      </x:c>
      <x:c r="I54" s="21" t="str">
        <x:v>iPad Pro 13-inch M4 (iPadOS 26.6); signed Debug build; physical offline cold-launch check</x:v>
      </x:c>
      <x:c r="J54" s="21" t="str">
        <x:v>APPLE-QA</x:v>
      </x:c>
      <x:c r="K54" s="21" t="str">
        <x:v>Signed Debug build clean-install/first-launch smoke and offline runtime execution now pass on the physical iPad Pro 13-inch M4. The owner confirmed Wi-Fi-disabled cold relaunch, bundled dataset selection, and one-cell execution on 2026-09-04; full online/offline transition and retry matrix remains.</x:v>
      </x:c>
      <x:c r="L54" s="29" t="n">
        <x:v>46269</x:v>
      </x:c>
    </x:row>
    <x:row r="55" ht="52.79999923706055" hidden="0" customHeight="1">
      <x:c r="A55" s="25" t="str">
        <x:v>QA-003</x:v>
      </x:c>
      <x:c r="B55" s="21" t="str">
        <x:v>Testing</x:v>
      </x:c>
      <x:c r="C55" s="21" t="str">
        <x:v>Test active routes and representative datasets</x:v>
      </x:c>
      <x:c r="D55" s="21" t="str">
        <x:v>Exercise Home, Data Playground, Machine Learning, CSV upload, charts, model routes, and final-test safeguards.</x:v>
      </x:c>
      <x:c r="E55" s="27" t="str">
        <x:v>P0</x:v>
      </x:c>
      <x:c r="F55" s="27" t="str">
        <x:v>In Progress</x:v>
      </x:c>
      <x:c r="G55" s="21" t="str">
        <x:v>TECH-008</x:v>
      </x:c>
      <x:c r="H55" s="21" t="str">
        <x:v>QA</x:v>
      </x:c>
      <x:c r="I55" s="21" t="str">
        <x:v>tests/; .github/workflows/ml-route-audit.yml; iPad Pro 13-inch M4 (iPadOS 26.6) bundled dataset check</x:v>
      </x:c>
      <x:c r="J55" s="21" t="str">
        <x:v>PROJECT</x:v>
      </x:c>
      <x:c r="K55" s="21" t="str">
        <x:v>Fast 254-route checks and bundled-runtime browser smoke pass. The owner confirmed bundled dataset selection and cell execution on the physical iPad on 2026-09-04; full representative route/dataset matrix remains.</x:v>
      </x:c>
      <x:c r="L55" s="29" t="n">
        <x:v>46269</x:v>
      </x:c>
    </x:row>
    <x:row r="56" ht="42" customHeight="1">
      <x:c r="A56" s="25" t="str">
        <x:v>QA-004</x:v>
      </x:c>
      <x:c r="B56" s="21" t="str">
        <x:v>Testing</x:v>
      </x:c>
      <x:c r="C56" s="21" t="str">
        <x:v>Test memory and performance on physical devices</x:v>
      </x:c>
      <x:c r="D56" s="21" t="str">
        <x:v>Measure cold start, Pyodide initialization, large datasets, long-running cells, chart rendering, and backgrounding on supported iPhones/iPads.</x:v>
      </x:c>
      <x:c r="E56" s="27" t="str">
        <x:v>P0</x:v>
      </x:c>
      <x:c r="F56" s="27" t="str">
        <x:v>Not Started</x:v>
      </x:c>
      <x:c r="G56" s="21" t="str">
        <x:v>TECH-008</x:v>
      </x:c>
      <x:c r="H56" s="21" t="str">
        <x:v>QA</x:v>
      </x:c>
      <x:c r="I56" s="21" t="str"/>
      <x:c r="J56" s="21" t="str">
        <x:v>APPLE-QA</x:v>
      </x:c>
      <x:c r="K56" s="21" t="str">
        <x:v>Watch for WebKit memory termination.</x:v>
      </x:c>
      <x:c r="L56" s="29" t="n">
        <x:v>46265</x:v>
      </x:c>
    </x:row>
    <x:row r="57" ht="52.79999923706055" hidden="0" customHeight="1">
      <x:c r="A57" s="25" t="str">
        <x:v>QA-005</x:v>
      </x:c>
      <x:c r="B57" s="21" t="str">
        <x:v>Testing</x:v>
      </x:c>
      <x:c r="C57" s="21" t="str">
        <x:v>Test foreground/background and relaunch recovery</x:v>
      </x:c>
      <x:c r="D57" s="21" t="str">
        <x:v>Confirm that editing, running, exporting, and any approved saved work recover sensibly after interruption or relaunch.</x:v>
      </x:c>
      <x:c r="E57" s="27" t="str">
        <x:v>P1</x:v>
      </x:c>
      <x:c r="F57" s="27" t="str">
        <x:v>Done</x:v>
      </x:c>
      <x:c r="G57" s="21" t="str">
        <x:v>TECH-012</x:v>
      </x:c>
      <x:c r="H57" s="21" t="str">
        <x:v>QA</x:v>
      </x:c>
      <x:c r="I57" s="21" t="str">
        <x:v>app/app-platform.js; ios-app-architecture.md; physical iPad background/relaunch checks</x:v>
      </x:c>
      <x:c r="J57" s="21" t="str">
        <x:v>APPLE-QA</x:v>
      </x:c>
      <x:c r="K57" s="21" t="str">
        <x:v>No disk persistence is intentional and documented. The owner confirmed active work remains after backgrounding and returns to a fresh canvas after swipe-kill/reopen on the physical iPad on 2026-09-04.</x:v>
      </x:c>
      <x:c r="L57" s="29" t="n">
        <x:v>46269</x:v>
      </x:c>
    </x:row>
    <x:row r="58" ht="42" customHeight="1">
      <x:c r="A58" s="25" t="str">
        <x:v>QA-006</x:v>
      </x:c>
      <x:c r="B58" s="21" t="str">
        <x:v>Testing</x:v>
      </x:c>
      <x:c r="C58" s="21" t="str">
        <x:v>Run final accessibility, privacy, and security regression</x:v>
      </x:c>
      <x:c r="D58" s="21" t="str">
        <x:v>Verify permissions, external links, data handling, logs, dependency manifests, and VoiceOver before submission.</x:v>
      </x:c>
      <x:c r="E58" s="27" t="str">
        <x:v>P0</x:v>
      </x:c>
      <x:c r="F58" s="27" t="str">
        <x:v>Not Started</x:v>
      </x:c>
      <x:c r="G58" s="21" t="str">
        <x:v>PRIV-003</x:v>
      </x:c>
      <x:c r="H58" s="21" t="str">
        <x:v>QA</x:v>
      </x:c>
      <x:c r="I58" s="21" t="str"/>
      <x:c r="J58" s="21" t="str">
        <x:v>APPLE-PRIVACY</x:v>
      </x:c>
      <x:c r="K58" s="21" t="str">
        <x:v>Complete immediately before archive.</x:v>
      </x:c>
      <x:c r="L58" s="29" t="n">
        <x:v>46265</x:v>
      </x:c>
    </x:row>
    <x:row r="59" ht="42" customHeight="1">
      <x:c r="A59" s="25" t="str">
        <x:v>REL-001</x:v>
      </x:c>
      <x:c r="B59" s="21" t="str">
        <x:v>Release</x:v>
      </x:c>
      <x:c r="C59" s="21" t="str">
        <x:v>Build with the current required Xcode/SDK</x:v>
      </x:c>
      <x:c r="D59" s="21" t="str">
        <x:v>Archive the release build with Xcode 26 and the iOS/iPadOS 26 SDK or later, as currently required by Apple.</x:v>
      </x:c>
      <x:c r="E59" s="27" t="str">
        <x:v>P0</x:v>
      </x:c>
      <x:c r="F59" s="27" t="str">
        <x:v>In Progress</x:v>
      </x:c>
      <x:c r="G59" s="21" t="str">
        <x:v>TECH-001</x:v>
      </x:c>
      <x:c r="H59" s="21" t="str">
        <x:v>Developer</x:v>
      </x:c>
      <x:c r="I59" s="21" t="str">
        <x:v>Xcode 26.6; iOS/iPadOS 26.5 SDK; iPad Pro 13-inch M4</x:v>
      </x:c>
      <x:c r="J59" s="21" t="str">
        <x:v>APPLE-SUBMIT</x:v>
      </x:c>
      <x:c r="K59" s="21" t="str">
        <x:v>Xcode 26.6 and the iOS/iPadOS 26.5 SDK are installed. Signed Debug build is installed and running on iPad Pro 13-inch M4 (iPadOS 26.6) using the Personal Team profile. Release archive/signing remains incomplete.</x:v>
      </x:c>
      <x:c r="L59" s="29" t="n">
        <x:v>46267</x:v>
      </x:c>
    </x:row>
    <x:row r="60" ht="42" customHeight="1">
      <x:c r="A60" s="25" t="str">
        <x:v>REL-002</x:v>
      </x:c>
      <x:c r="B60" s="21" t="str">
        <x:v>Release</x:v>
      </x:c>
      <x:c r="C60" s="21" t="str">
        <x:v>Upload, select, and submit the build</x:v>
      </x:c>
      <x:c r="D60" s="21" t="str">
        <x:v>Upload the processed build, associate it with the App Store version, answer compliance questions, and submit for review.</x:v>
      </x:c>
      <x:c r="E60" s="27" t="str">
        <x:v>P0</x:v>
      </x:c>
      <x:c r="F60" s="27" t="str">
        <x:v>Not Started</x:v>
      </x:c>
      <x:c r="G60" s="21" t="str">
        <x:v>QA-001</x:v>
      </x:c>
      <x:c r="H60" s="21" t="str">
        <x:v>Project owner</x:v>
      </x:c>
      <x:c r="I60" s="21" t="str"/>
      <x:c r="J60" s="21" t="str">
        <x:v>APPLE-SUBMIT</x:v>
      </x:c>
      <x:c r="K60" s="21" t="str">
        <x:v>Do this only after the release checklist is complete.</x:v>
      </x:c>
      <x:c r="L60" s="29" t="n">
        <x:v>46265</x:v>
      </x:c>
    </x:row>
    <x:row r="61" ht="42" customHeight="1">
      <x:c r="A61" s="25" t="str">
        <x:v>REL-003</x:v>
      </x:c>
      <x:c r="B61" s="21" t="str">
        <x:v>Release</x:v>
      </x:c>
      <x:c r="C61" s="21" t="str">
        <x:v>Monitor review and respond to issues</x:v>
      </x:c>
      <x:c r="D61" s="21" t="str">
        <x:v>Track review status, answer reviewer questions, and record any rejection fix and resubmission in this tracker.</x:v>
      </x:c>
      <x:c r="E61" s="27" t="str">
        <x:v>P1</x:v>
      </x:c>
      <x:c r="F61" s="27" t="str">
        <x:v>Not Started</x:v>
      </x:c>
      <x:c r="G61" s="21" t="str">
        <x:v>REL-002</x:v>
      </x:c>
      <x:c r="H61" s="21" t="str">
        <x:v>Project owner</x:v>
      </x:c>
      <x:c r="I61" s="21" t="str"/>
      <x:c r="J61" s="21" t="str">
        <x:v>APPLE-REVIEW</x:v>
      </x:c>
      <x:c r="K61" s="21" t="str">
        <x:v>Keep review communication and fixes auditable.</x:v>
      </x:c>
      <x:c r="L61" s="29" t="n">
        <x:v>46265</x:v>
      </x:c>
    </x:row>
  </x:sheetData>
  <x:conditionalFormatting sqref="F5:F61">
    <x:cfRule type="containsText" dxfId="0" priority="1" operator="containsText" text="Done"/>
    <x:cfRule type="containsText" dxfId="1" priority="2" operator="containsText" text="Needs User Info"/>
    <x:cfRule type="containsText" dxfId="2" priority="3" operator="containsText" text="Blocked"/>
  </x:conditionalFormatting>
  <x:conditionalFormatting sqref="E5:E61">
    <x:cfRule type="containsText" dxfId="3" priority="4" operator="containsText" text="P0"/>
  </x:conditionalFormatting>
  <x:dataValidations count="2">
    <x:dataValidation type="list" sqref="E5:E61">
      <x:formula1>"P0,P1,P2"</x:formula1>
    </x:dataValidation>
    <x:dataValidation type="list" sqref="F5:F61">
      <x:formula1>"Not Started,In Progress,Done,Needs User Info,Blocked"</x:formula1>
    </x:dataValidation>
  </x:dataValidations>
  <x:pageMargins left="0.7" right="0.7" top="0.75" bottom="0.75" header="0.3" footer="0.3"/>
  <x:tableParts count="1">
    <x:tablePart xmlns:r="http://schemas.openxmlformats.org/officeDocument/2006/relationships" r:id="R8a23da99ccd6439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62" hidden="0" customWidth="1"/>
    <x:col min="4" max="4" width="19" hidden="0" customWidth="1"/>
    <x:col min="5" max="5" width="38" hidden="0" customWidth="1"/>
  </x:cols>
  <x:sheetData>
    <x:row r="1" ht="30" customHeight="1">
      <x:c r="A1" s="33" t="str">
        <x:v>Release Checklist</x:v>
      </x:c>
      <x:c r="B1" s="33" t="str">
        <x:v>Release Checklist</x:v>
      </x:c>
      <x:c r="C1" s="33" t="str">
        <x:v>Release Checklist</x:v>
      </x:c>
      <x:c r="D1" s="33" t="str">
        <x:v>Release Checklist</x:v>
      </x:c>
      <x:c r="E1" s="33" t="str">
        <x:v>Release Checklist</x:v>
      </x:c>
    </x:row>
    <x:row r="2" ht="27" customHeight="1">
      <x:c r="A2" s="37" t="str">
        <x:v>Formula-driven view of the tasks that must be complete before archive, upload, and App Review submission.</x:v>
      </x:c>
      <x:c r="B2" s="37" t="str">
        <x:v>Formula-driven view of the tasks that must be complete before archive, upload, and App Review submission.</x:v>
      </x:c>
      <x:c r="C2" s="37" t="str">
        <x:v>Formula-driven view of the tasks that must be complete before archive, upload, and App Review submission.</x:v>
      </x:c>
      <x:c r="D2" s="37" t="str">
        <x:v>Formula-driven view of the tasks that must be complete before archive, upload, and App Review submission.</x:v>
      </x:c>
      <x:c r="E2" s="37" t="str">
        <x:v>Formula-driven view of the tasks that must be complete before archive, upload, and App Review submission.</x:v>
      </x:c>
    </x:row>
    <x:row r="3" ht="24" customHeight="1">
      <x:c r="A3" s="80" t="str">
        <x:v>CHECKLISTS</x:v>
      </x:c>
      <x:c r="B3" s="81" t="n">
        <x:f>COUNTA(A7:A42)</x:f>
        <x:v>36</x:v>
      </x:c>
      <x:c r="C3" s="81" t="str">
        <x:v>DONE</x:v>
      </x:c>
      <x:c r="D3" s="81" t="n">
        <x:f>COUNTIF(D7:D42,"Done")</x:f>
        <x:v>9</x:v>
      </x:c>
      <x:c r="E3" s="82" t="str">
        <x:v>Derived from Task Register</x:v>
      </x:c>
    </x:row>
    <x:row r="6" ht="30" customHeight="1">
      <x:c r="A6" s="12" t="str">
        <x:v>ID</x:v>
      </x:c>
      <x:c r="B6" s="13" t="str">
        <x:v>Phase</x:v>
      </x:c>
      <x:c r="C6" s="13" t="str">
        <x:v>Requirement</x:v>
      </x:c>
      <x:c r="D6" s="13" t="str">
        <x:v>Status</x:v>
      </x:c>
      <x:c r="E6" s="14" t="str">
        <x:v>Evidence / notes</x:v>
      </x:c>
    </x:row>
    <x:row r="7" ht="30" customHeight="1">
      <x:c r="A7" s="24" t="str">
        <x:v>TECH-001</x:v>
      </x:c>
      <x:c r="B7" s="20" t="str">
        <x:v>Native build</x:v>
      </x:c>
      <x:c r="C7" s="20" t="str">
        <x:v>Signed iOS project exists and launches without Safari.</x:v>
      </x:c>
      <x:c r="D7" s="26" t="str">
        <x:f>IF(COUNTIFS('Task Register'!$A$5:$A$61,A7,'Task Register'!$F$5:$F$61,"Done")&gt;0,"Done",IF(COUNTIFS('Task Register'!$A$5:$A$61,A7,'Task Register'!$F$5:$F$61,"In Progress")&gt;0,"In Progress",IF(COUNTIFS('Task Register'!$A$5:$A$61,A7,'Task Register'!$F$5:$F$61,"Needs User Info")&gt;0,"Needs User Info","Not Started")))</x:f>
        <x:v>Done</x:v>
      </x:c>
      <x:c r="E7" s="20" t="str">
        <x:v>ios/; Xcode-managed signing; iPad Pro 13-inch M4 (iPadOS 26.6)</x:v>
      </x:c>
    </x:row>
    <x:row r="8" ht="30" customHeight="1">
      <x:c r="A8" s="25" t="str">
        <x:v>TECH-004</x:v>
      </x:c>
      <x:c r="B8" s="21" t="str">
        <x:v>Native build</x:v>
      </x:c>
      <x:c r="C8" s="21" t="str">
        <x:v>Final web assets are packaged locally in the app.</x:v>
      </x:c>
      <x:c r="D8" s="27" t="str">
        <x:f>IF(COUNTIFS('Task Register'!$A$5:$A$61,A8,'Task Register'!$F$5:$F$61,"Done")&gt;0,"Done",IF(COUNTIFS('Task Register'!$A$5:$A$61,A8,'Task Register'!$F$5:$F$61,"In Progress")&gt;0,"In Progress",IF(COUNTIFS('Task Register'!$A$5:$A$61,A8,'Task Register'!$F$5:$F$61,"Needs User Info")&gt;0,"Needs User Info","Not Started")))</x:f>
        <x:v>Done</x:v>
      </x:c>
      <x:c r="E8" s="21" t="str">
        <x:v>scripts/build-web.mjs; capacitor.config.json; ios/App/App/public/</x:v>
      </x:c>
    </x:row>
    <x:row r="9" ht="39.599998474121094" hidden="0" customHeight="1">
      <x:c r="A9" s="25" t="str">
        <x:v>TECH-005</x:v>
      </x:c>
      <x:c r="B9" s="21" t="str">
        <x:v>Runtime</x:v>
      </x:c>
      <x:c r="C9" s="21" t="str">
        <x:v>Python runtime and packages work after clean install/offline transition.</x:v>
      </x:c>
      <x:c r="D9" s="27" t="str">
        <x:f>IF(COUNTIFS('Task Register'!$A$5:$A$61,A9,'Task Register'!$F$5:$F$61,"Done")&gt;0,"Done",IF(COUNTIFS('Task Register'!$A$5:$A$61,A9,'Task Register'!$F$5:$F$61,"In Progress")&gt;0,"In Progress",IF(COUNTIFS('Task Register'!$A$5:$A$61,A9,'Task Register'!$F$5:$F$61,"Needs User Info")&gt;0,"Needs User Info","Not Started")))</x:f>
        <x:v>Done</x:v>
      </x:c>
      <x:c r="E9" s="21" t="str">
        <x:v>scripts/vendor-pyodide.mjs; vendor/pyodide/runtime-manifest.json; physical iPad offline cold-launch check</x:v>
      </x:c>
    </x:row>
    <x:row r="10" ht="30" customHeight="1">
      <x:c r="A10" s="25" t="str">
        <x:v>TECH-008</x:v>
      </x:c>
      <x:c r="B10" s="21" t="str">
        <x:v>Runtime</x:v>
      </x:c>
      <x:c r="C10" s="21" t="str">
        <x:v>WebAssembly, workers, charts, and large data pass on iOS WebKit.</x:v>
      </x:c>
      <x:c r="D10" s="27" t="str">
        <x:f>IF(COUNTIFS('Task Register'!$A$5:$A$61,A10,'Task Register'!$F$5:$F$61,"Done")&gt;0,"Done",IF(COUNTIFS('Task Register'!$A$5:$A$61,A10,'Task Register'!$F$5:$F$61,"In Progress")&gt;0,"In Progress",IF(COUNTIFS('Task Register'!$A$5:$A$61,A10,'Task Register'!$F$5:$F$61,"Needs User Info")&gt;0,"Needs User Info","Not Started")))</x:f>
        <x:v>Not Started</x:v>
      </x:c>
      <x:c r="E10" s="21" t="str">
        <x:v>Update Task Register evidence here.</x:v>
      </x:c>
    </x:row>
    <x:row r="11" ht="30" customHeight="1">
      <x:c r="A11" s="25" t="str">
        <x:v>TECH-013</x:v>
      </x:c>
      <x:c r="B11" s="21" t="str">
        <x:v>Native build</x:v>
      </x:c>
      <x:c r="C11" s="21" t="str">
        <x:v>Mac delivery path is chosen and tested.</x:v>
      </x:c>
      <x:c r="D11" s="27" t="str">
        <x:f>IF(COUNTIFS('Task Register'!$A$5:$A$61,A11,'Task Register'!$F$5:$F$61,"Done")&gt;0,"Done",IF(COUNTIFS('Task Register'!$A$5:$A$61,A11,'Task Register'!$F$5:$F$61,"In Progress")&gt;0,"In Progress",IF(COUNTIFS('Task Register'!$A$5:$A$61,A11,'Task Register'!$F$5:$F$61,"Needs User Info")&gt;0,"Needs User Info","Not Started")))</x:f>
        <x:v>Done</x:v>
      </x:c>
      <x:c r="E11" s="21" t="str">
        <x:v>ios-app-architecture.md; .github/workflows/deploy-pages.yml</x:v>
      </x:c>
    </x:row>
    <x:row r="12" ht="30" customHeight="1">
      <x:c r="A12" s="25" t="str">
        <x:v>TECH-009</x:v>
      </x:c>
      <x:c r="B12" s="21" t="str">
        <x:v>Native bridge</x:v>
      </x:c>
      <x:c r="C12" s="21" t="str">
        <x:v>CSV import works through iOS Files.</x:v>
      </x:c>
      <x:c r="D12" s="27" t="str">
        <x:f>IF(COUNTIFS('Task Register'!$A$5:$A$61,A12,'Task Register'!$F$5:$F$61,"Done")&gt;0,"Done",IF(COUNTIFS('Task Register'!$A$5:$A$61,A12,'Task Register'!$F$5:$F$61,"In Progress")&gt;0,"In Progress",IF(COUNTIFS('Task Register'!$A$5:$A$61,A12,'Task Register'!$F$5:$F$61,"Needs User Info")&gt;0,"Needs User Info","Not Started")))</x:f>
        <x:v>In Progress</x:v>
      </x:c>
      <x:c r="E12" s="21" t="str">
        <x:v>playground.html; ios/App/App/Info.plist</x:v>
      </x:c>
    </x:row>
    <x:row r="13" ht="39.599998474121094" hidden="0" customHeight="1">
      <x:c r="A13" s="25" t="str">
        <x:v>TECH-010</x:v>
      </x:c>
      <x:c r="B13" s="21" t="str">
        <x:v>Native bridge</x:v>
      </x:c>
      <x:c r="C13" s="21" t="str">
        <x:v>CSV/chart export works through Files or Share Sheet.</x:v>
      </x:c>
      <x:c r="D13" s="27" t="str">
        <x:f>IF(COUNTIFS('Task Register'!$A$5:$A$61,A13,'Task Register'!$F$5:$F$61,"Done")&gt;0,"Done",IF(COUNTIFS('Task Register'!$A$5:$A$61,A13,'Task Register'!$F$5:$F$61,"In Progress")&gt;0,"In Progress",IF(COUNTIFS('Task Register'!$A$5:$A$61,A13,'Task Register'!$F$5:$F$61,"Needs User Info")&gt;0,"Needs User Info","Not Started")))</x:f>
        <x:v>In Progress</x:v>
      </x:c>
      <x:c r="E13" s="21" t="str">
        <x:v>app/app-platform.js; playground.html; ml-app.js; physical iPad Share Sheet check (Save to Files/result validation remains)</x:v>
      </x:c>
    </x:row>
    <x:row r="14" ht="30" customHeight="1">
      <x:c r="A14" s="25" t="str">
        <x:v>UX-001</x:v>
      </x:c>
      <x:c r="B14" s="21" t="str">
        <x:v>iOS UX</x:v>
      </x:c>
      <x:c r="C14" s="21" t="str">
        <x:v>Icon, launch screen, system chrome, and safe areas are complete.</x:v>
      </x:c>
      <x:c r="D14" s="27" t="str">
        <x:f>IF(COUNTIFS('Task Register'!$A$5:$A$61,A14,'Task Register'!$F$5:$F$61,"Done")&gt;0,"Done",IF(COUNTIFS('Task Register'!$A$5:$A$61,A14,'Task Register'!$F$5:$F$61,"In Progress")&gt;0,"In Progress",IF(COUNTIFS('Task Register'!$A$5:$A$61,A14,'Task Register'!$F$5:$F$61,"Needs User Info")&gt;0,"Needs User Info","Not Started")))</x:f>
        <x:v>In Progress</x:v>
      </x:c>
      <x:c r="E14" s="21" t="str">
        <x:v>assets/icons/; ios/App/App/Assets.xcassets; ios/App/App/Info.plist</x:v>
      </x:c>
    </x:row>
    <x:row r="15" ht="39.599998474121094" hidden="0" customHeight="1">
      <x:c r="A15" s="25" t="str">
        <x:v>UX-002</x:v>
      </x:c>
      <x:c r="B15" s="21" t="str">
        <x:v>iOS UX</x:v>
      </x:c>
      <x:c r="C15" s="21" t="str">
        <x:v>Keyboard, touch, scrolling, editor, and workflow panels are usable.</x:v>
      </x:c>
      <x:c r="D15" s="27" t="str">
        <x:f>IF(COUNTIFS('Task Register'!$A$5:$A$61,A15,'Task Register'!$F$5:$F$61,"Done")&gt;0,"Done",IF(COUNTIFS('Task Register'!$A$5:$A$61,A15,'Task Register'!$F$5:$F$61,"In Progress")&gt;0,"In Progress",IF(COUNTIFS('Task Register'!$A$5:$A$61,A15,'Task Register'!$F$5:$F$61,"Needs User Info")&gt;0,"Needs User Info","Not Started")))</x:f>
        <x:v>In Progress</x:v>
      </x:c>
      <x:c r="E15" s="21" t="str">
        <x:v>home.css; playground.html; ml.html; physical iPad rotation check; independent cell/output scrolling update pending native revalidation</x:v>
      </x:c>
    </x:row>
    <x:row r="16" ht="30" customHeight="1">
      <x:c r="A16" s="25" t="str">
        <x:v>UX-003</x:v>
      </x:c>
      <x:c r="B16" s="21" t="str">
        <x:v>iOS UX</x:v>
      </x:c>
      <x:c r="C16" s="21" t="str">
        <x:v>VoiceOver, focus, touch target, contrast, and motion checks pass.</x:v>
      </x:c>
      <x:c r="D16" s="27" t="str">
        <x:f>IF(COUNTIFS('Task Register'!$A$5:$A$61,A16,'Task Register'!$F$5:$F$61,"Done")&gt;0,"Done",IF(COUNTIFS('Task Register'!$A$5:$A$61,A16,'Task Register'!$F$5:$F$61,"In Progress")&gt;0,"In Progress",IF(COUNTIFS('Task Register'!$A$5:$A$61,A16,'Task Register'!$F$5:$F$61,"Needs User Info")&gt;0,"Needs User Info","Not Started")))</x:f>
        <x:v>Not Started</x:v>
      </x:c>
      <x:c r="E16" s="21" t="str">
        <x:v>Update Task Register evidence here.</x:v>
      </x:c>
    </x:row>
    <x:row r="17" ht="30" customHeight="1">
      <x:c r="A17" s="25" t="str">
        <x:v>UX-005</x:v>
      </x:c>
      <x:c r="B17" s="21" t="str">
        <x:v>iOS UX</x:v>
      </x:c>
      <x:c r="C17" s="21" t="str">
        <x:v>Mac pointer, keyboard, window, menu, and export behaviour is usable if shipped.</x:v>
      </x:c>
      <x:c r="D17" s="27" t="str">
        <x:f>IF(COUNTIFS('Task Register'!$A$5:$A$61,A17,'Task Register'!$F$5:$F$61,"Done")&gt;0,"Done",IF(COUNTIFS('Task Register'!$A$5:$A$61,A17,'Task Register'!$F$5:$F$61,"In Progress")&gt;0,"In Progress",IF(COUNTIFS('Task Register'!$A$5:$A$61,A17,'Task Register'!$F$5:$F$61,"Needs User Info")&gt;0,"Needs User Info","Not Started")))</x:f>
        <x:v>Not Started</x:v>
      </x:c>
      <x:c r="E17" s="21" t="str">
        <x:v>Update Task Register evidence here.</x:v>
      </x:c>
    </x:row>
    <x:row r="18" ht="30" customHeight="1">
      <x:c r="A18" s="25" t="str">
        <x:v>PRIV-001</x:v>
      </x:c>
      <x:c r="B18" s="21" t="str">
        <x:v>Privacy</x:v>
      </x:c>
      <x:c r="C18" s="21" t="str">
        <x:v>Public privacy policy URL is live and matches the app.</x:v>
      </x:c>
      <x:c r="D18" s="27" t="str">
        <x:f>IF(COUNTIFS('Task Register'!$A$5:$A$61,A18,'Task Register'!$F$5:$F$61,"Done")&gt;0,"Done",IF(COUNTIFS('Task Register'!$A$5:$A$61,A18,'Task Register'!$F$5:$F$61,"In Progress")&gt;0,"In Progress",IF(COUNTIFS('Task Register'!$A$5:$A$61,A18,'Task Register'!$F$5:$F$61,"Needs User Info")&gt;0,"Needs User Info","Not Started")))</x:f>
        <x:v>In Progress</x:v>
      </x:c>
      <x:c r="E18" s="21" t="str">
        <x:v>Update Task Register evidence here.</x:v>
      </x:c>
    </x:row>
    <x:row r="19" ht="30" customHeight="1">
      <x:c r="A19" s="25" t="str">
        <x:v>PRIV-002</x:v>
      </x:c>
      <x:c r="B19" s="21" t="str">
        <x:v>Privacy</x:v>
      </x:c>
      <x:c r="C19" s="21" t="str">
        <x:v>All app and third-party data flows are documented.</x:v>
      </x:c>
      <x:c r="D19" s="27" t="str">
        <x:f>IF(COUNTIFS('Task Register'!$A$5:$A$61,A19,'Task Register'!$F$5:$F$61,"Done")&gt;0,"Done",IF(COUNTIFS('Task Register'!$A$5:$A$61,A19,'Task Register'!$F$5:$F$61,"In Progress")&gt;0,"In Progress",IF(COUNTIFS('Task Register'!$A$5:$A$61,A19,'Task Register'!$F$5:$F$61,"Needs User Info")&gt;0,"Needs User Info","Not Started")))</x:f>
        <x:v>Done</x:v>
      </x:c>
      <x:c r="E19" s="21" t="str">
        <x:v>data-flow-audit.md</x:v>
      </x:c>
    </x:row>
    <x:row r="20" ht="30" customHeight="1">
      <x:c r="A20" s="25" t="str">
        <x:v>PRIV-003</x:v>
      </x:c>
      <x:c r="B20" s="21" t="str">
        <x:v>Privacy</x:v>
      </x:c>
      <x:c r="C20" s="21" t="str">
        <x:v>PrivacyInfo.xcprivacy is valid and included in the bundle.</x:v>
      </x:c>
      <x:c r="D20" s="27" t="str">
        <x:f>IF(COUNTIFS('Task Register'!$A$5:$A$61,A20,'Task Register'!$F$5:$F$61,"Done")&gt;0,"Done",IF(COUNTIFS('Task Register'!$A$5:$A$61,A20,'Task Register'!$F$5:$F$61,"In Progress")&gt;0,"In Progress",IF(COUNTIFS('Task Register'!$A$5:$A$61,A20,'Task Register'!$F$5:$F$61,"Needs User Info")&gt;0,"Needs User Info","Not Started")))</x:f>
        <x:v>In Progress</x:v>
      </x:c>
      <x:c r="E20" s="21" t="str">
        <x:v>ios/App/App/PrivacyInfo.xcprivacy</x:v>
      </x:c>
    </x:row>
    <x:row r="21" ht="30" customHeight="1">
      <x:c r="A21" s="25" t="str">
        <x:v>PRIV-005</x:v>
      </x:c>
      <x:c r="B21" s="21" t="str">
        <x:v>Rights</x:v>
      </x:c>
      <x:c r="C21" s="21" t="str">
        <x:v>Dataset, font, runtime, package, and code rights are cleared.</x:v>
      </x:c>
      <x:c r="D21" s="27" t="str">
        <x:f>IF(COUNTIFS('Task Register'!$A$5:$A$61,A21,'Task Register'!$F$5:$F$61,"Done")&gt;0,"Done",IF(COUNTIFS('Task Register'!$A$5:$A$61,A21,'Task Register'!$F$5:$F$61,"In Progress")&gt;0,"In Progress",IF(COUNTIFS('Task Register'!$A$5:$A$61,A21,'Task Register'!$F$5:$F$61,"Needs User Info")&gt;0,"Needs User Info","Not Started")))</x:f>
        <x:v>In Progress</x:v>
      </x:c>
      <x:c r="E21" s="21" t="str">
        <x:v>acknowledgements.html; assets/licenses/manifest.json; third-party-rights-and-licenses.md</x:v>
      </x:c>
    </x:row>
    <x:row r="22" ht="30" customHeight="1">
      <x:c r="A22" s="25" t="str">
        <x:v>ADS-001</x:v>
      </x:c>
      <x:c r="B22" s="21" t="str">
        <x:v>Advertising</x:v>
      </x:c>
      <x:c r="C22" s="21" t="str">
        <x:v>Ad format and placement are approved and non-blocking.</x:v>
      </x:c>
      <x:c r="D22" s="27" t="str">
        <x:f>IF(COUNTIFS('Task Register'!$A$5:$A$61,A22,'Task Register'!$F$5:$F$61,"Done")&gt;0,"Done",IF(COUNTIFS('Task Register'!$A$5:$A$61,A22,'Task Register'!$F$5:$F$61,"In Progress")&gt;0,"In Progress",IF(COUNTIFS('Task Register'!$A$5:$A$61,A22,'Task Register'!$F$5:$F$61,"Needs User Info")&gt;0,"Needs User Info","Not Started")))</x:f>
        <x:v>Done</x:v>
      </x:c>
      <x:c r="E22" s="21" t="str">
        <x:v>ads-and-consent-plan.md</x:v>
      </x:c>
    </x:row>
    <x:row r="23" ht="30" customHeight="1">
      <x:c r="A23" s="25" t="str">
        <x:v>ADS-002</x:v>
      </x:c>
      <x:c r="B23" s="21" t="str">
        <x:v>Advertising</x:v>
      </x:c>
      <x:c r="C23" s="21" t="str">
        <x:v>Ad-network account and test/production ad units are ready.</x:v>
      </x:c>
      <x:c r="D23" s="27" t="str">
        <x:f>IF(COUNTIFS('Task Register'!$A$5:$A$61,A23,'Task Register'!$F$5:$F$61,"Done")&gt;0,"Done",IF(COUNTIFS('Task Register'!$A$5:$A$61,A23,'Task Register'!$F$5:$F$61,"In Progress")&gt;0,"In Progress",IF(COUNTIFS('Task Register'!$A$5:$A$61,A23,'Task Register'!$F$5:$F$61,"Needs User Info")&gt;0,"Needs User Info","Not Started")))</x:f>
        <x:v>Needs User Info</x:v>
      </x:c>
      <x:c r="E23" s="21" t="str">
        <x:v>ads-and-consent-plan.md</x:v>
      </x:c>
    </x:row>
    <x:row r="24" ht="30" customHeight="1">
      <x:c r="A24" s="25" t="str">
        <x:v>ADS-003</x:v>
      </x:c>
      <x:c r="B24" s="21" t="str">
        <x:v>Advertising</x:v>
      </x:c>
      <x:c r="C24" s="21" t="str">
        <x:v>Ads use the approved consent-aware, non-personalized default.</x:v>
      </x:c>
      <x:c r="D24" s="27" t="str">
        <x:f>IF(COUNTIFS('Task Register'!$A$5:$A$61,A24,'Task Register'!$F$5:$F$61,"Done")&gt;0,"Done",IF(COUNTIFS('Task Register'!$A$5:$A$61,A24,'Task Register'!$F$5:$F$61,"In Progress")&gt;0,"In Progress",IF(COUNTIFS('Task Register'!$A$5:$A$61,A24,'Task Register'!$F$5:$F$61,"Needs User Info")&gt;0,"Needs User Info","Not Started")))</x:f>
        <x:v>Not Started</x:v>
      </x:c>
      <x:c r="E24" s="21" t="str">
        <x:v>Update Task Register evidence here.</x:v>
      </x:c>
    </x:row>
    <x:row r="25" ht="30" customHeight="1">
      <x:c r="A25" s="25" t="str">
        <x:v>ADS-004</x:v>
      </x:c>
      <x:c r="B25" s="21" t="str">
        <x:v>Advertising</x:v>
      </x:c>
      <x:c r="C25" s="21" t="str">
        <x:v>Privacy policy, App Privacy answers, and manifests match the ad SDK.</x:v>
      </x:c>
      <x:c r="D25" s="27" t="str">
        <x:f>IF(COUNTIFS('Task Register'!$A$5:$A$61,A25,'Task Register'!$F$5:$F$61,"Done")&gt;0,"Done",IF(COUNTIFS('Task Register'!$A$5:$A$61,A25,'Task Register'!$F$5:$F$61,"In Progress")&gt;0,"In Progress",IF(COUNTIFS('Task Register'!$A$5:$A$61,A25,'Task Register'!$F$5:$F$61,"Needs User Info")&gt;0,"Needs User Info","Not Started")))</x:f>
        <x:v>Not Started</x:v>
      </x:c>
      <x:c r="E25" s="21" t="str">
        <x:v>Update Task Register evidence here.</x:v>
      </x:c>
    </x:row>
    <x:row r="26" ht="30" customHeight="1">
      <x:c r="A26" s="25" t="str">
        <x:v>ADS-005</x:v>
      </x:c>
      <x:c r="B26" s="21" t="str">
        <x:v>Advertising</x:v>
      </x:c>
      <x:c r="C26" s="21" t="str">
        <x:v>Ad UX and App Review compliance pass on supported surfaces.</x:v>
      </x:c>
      <x:c r="D26" s="27" t="str">
        <x:f>IF(COUNTIFS('Task Register'!$A$5:$A$61,A26,'Task Register'!$F$5:$F$61,"Done")&gt;0,"Done",IF(COUNTIFS('Task Register'!$A$5:$A$61,A26,'Task Register'!$F$5:$F$61,"In Progress")&gt;0,"In Progress",IF(COUNTIFS('Task Register'!$A$5:$A$61,A26,'Task Register'!$F$5:$F$61,"Needs User Info")&gt;0,"Needs User Info","Not Started")))</x:f>
        <x:v>Not Started</x:v>
      </x:c>
      <x:c r="E26" s="21" t="str">
        <x:v>Update Task Register evidence here.</x:v>
      </x:c>
    </x:row>
    <x:row r="27" ht="30" customHeight="1">
      <x:c r="A27" s="25" t="str">
        <x:v>STORE-001</x:v>
      </x:c>
      <x:c r="B27" s="21" t="str">
        <x:v>App Store</x:v>
      </x:c>
      <x:c r="C27" s="21" t="str">
        <x:v>Developer membership and verification are active.</x:v>
      </x:c>
      <x:c r="D27" s="27" t="str">
        <x:f>IF(COUNTIFS('Task Register'!$A$5:$A$61,A27,'Task Register'!$F$5:$F$61,"Done")&gt;0,"Done",IF(COUNTIFS('Task Register'!$A$5:$A$61,A27,'Task Register'!$F$5:$F$61,"In Progress")&gt;0,"In Progress",IF(COUNTIFS('Task Register'!$A$5:$A$61,A27,'Task Register'!$F$5:$F$61,"Needs User Info")&gt;0,"Needs User Info","Not Started")))</x:f>
        <x:v>Not Started</x:v>
      </x:c>
      <x:c r="E27" s="21" t="str">
        <x:v>Update Task Register evidence here.</x:v>
      </x:c>
    </x:row>
    <x:row r="28" ht="30" customHeight="1">
      <x:c r="A28" s="25" t="str">
        <x:v>STORE-002</x:v>
      </x:c>
      <x:c r="B28" s="21" t="str">
        <x:v>App Store</x:v>
      </x:c>
      <x:c r="C28" s="21" t="str">
        <x:v>App Store Connect record and bundle ID are linked.</x:v>
      </x:c>
      <x:c r="D28" s="27" t="str">
        <x:f>IF(COUNTIFS('Task Register'!$A$5:$A$61,A28,'Task Register'!$F$5:$F$61,"Done")&gt;0,"Done",IF(COUNTIFS('Task Register'!$A$5:$A$61,A28,'Task Register'!$F$5:$F$61,"In Progress")&gt;0,"In Progress",IF(COUNTIFS('Task Register'!$A$5:$A$61,A28,'Task Register'!$F$5:$F$61,"Needs User Info")&gt;0,"Needs User Info","Not Started")))</x:f>
        <x:v>Not Started</x:v>
      </x:c>
      <x:c r="E28" s="21" t="str">
        <x:v>Update Task Register evidence here.</x:v>
      </x:c>
    </x:row>
    <x:row r="29" ht="30" customHeight="1">
      <x:c r="A29" s="25" t="str">
        <x:v>STORE-003</x:v>
      </x:c>
      <x:c r="B29" s="21" t="str">
        <x:v>App Store</x:v>
      </x:c>
      <x:c r="C29" s="21" t="str">
        <x:v>Metadata and URLs are final, accurate, and placeholder-free.</x:v>
      </x:c>
      <x:c r="D29" s="27" t="str">
        <x:f>IF(COUNTIFS('Task Register'!$A$5:$A$61,A29,'Task Register'!$F$5:$F$61,"Done")&gt;0,"Done",IF(COUNTIFS('Task Register'!$A$5:$A$61,A29,'Task Register'!$F$5:$F$61,"In Progress")&gt;0,"In Progress",IF(COUNTIFS('Task Register'!$A$5:$A$61,A29,'Task Register'!$F$5:$F$61,"Needs User Info")&gt;0,"Needs User Info","Not Started")))</x:f>
        <x:v>In Progress</x:v>
      </x:c>
      <x:c r="E29" s="21" t="str">
        <x:v>app-store-listing-draft.md; about.html; help.html</x:v>
      </x:c>
    </x:row>
    <x:row r="30" ht="30" customHeight="1">
      <x:c r="A30" s="25" t="str">
        <x:v>STORE-004</x:v>
      </x:c>
      <x:c r="B30" s="21" t="str">
        <x:v>App Store</x:v>
      </x:c>
      <x:c r="C30" s="21" t="str">
        <x:v>Final icon and launch assets are included.</x:v>
      </x:c>
      <x:c r="D30" s="27" t="str">
        <x:f>IF(COUNTIFS('Task Register'!$A$5:$A$61,A30,'Task Register'!$F$5:$F$61,"Done")&gt;0,"Done",IF(COUNTIFS('Task Register'!$A$5:$A$61,A30,'Task Register'!$F$5:$F$61,"In Progress")&gt;0,"In Progress",IF(COUNTIFS('Task Register'!$A$5:$A$61,A30,'Task Register'!$F$5:$F$61,"Needs User Info")&gt;0,"Needs User Info","Not Started")))</x:f>
        <x:v>Done</x:v>
      </x:c>
      <x:c r="E30" s="21" t="str">
        <x:v>assets/icons/; ios/App/App/Assets.xcassets</x:v>
      </x:c>
    </x:row>
    <x:row r="31" ht="30" customHeight="1">
      <x:c r="A31" s="25" t="str">
        <x:v>STORE-005</x:v>
      </x:c>
      <x:c r="B31" s="21" t="str">
        <x:v>App Store</x:v>
      </x:c>
      <x:c r="C31" s="21" t="str">
        <x:v>Screenshots represent the submitted build.</x:v>
      </x:c>
      <x:c r="D31" s="27" t="str">
        <x:f>IF(COUNTIFS('Task Register'!$A$5:$A$61,A31,'Task Register'!$F$5:$F$61,"Done")&gt;0,"Done",IF(COUNTIFS('Task Register'!$A$5:$A$61,A31,'Task Register'!$F$5:$F$61,"In Progress")&gt;0,"In Progress",IF(COUNTIFS('Task Register'!$A$5:$A$61,A31,'Task Register'!$F$5:$F$61,"Needs User Info")&gt;0,"Needs User Info","Not Started")))</x:f>
        <x:v>Not Started</x:v>
      </x:c>
      <x:c r="E31" s="21" t="str">
        <x:v>Update Task Register evidence here.</x:v>
      </x:c>
    </x:row>
    <x:row r="32" ht="30" customHeight="1">
      <x:c r="A32" s="25" t="str">
        <x:v>STORE-006</x:v>
      </x:c>
      <x:c r="B32" s="21" t="str">
        <x:v>App Store</x:v>
      </x:c>
      <x:c r="C32" s="21" t="str">
        <x:v>Rating, categories, price, availability, and rights are complete.</x:v>
      </x:c>
      <x:c r="D32" s="27" t="str">
        <x:f>IF(COUNTIFS('Task Register'!$A$5:$A$61,A32,'Task Register'!$F$5:$F$61,"Done")&gt;0,"Done",IF(COUNTIFS('Task Register'!$A$5:$A$61,A32,'Task Register'!$F$5:$F$61,"In Progress")&gt;0,"In Progress",IF(COUNTIFS('Task Register'!$A$5:$A$61,A32,'Task Register'!$F$5:$F$61,"Needs User Info")&gt;0,"Needs User Info","Not Started")))</x:f>
        <x:v>Not Started</x:v>
      </x:c>
      <x:c r="E32" s="21" t="str">
        <x:v>Update Task Register evidence here.</x:v>
      </x:c>
    </x:row>
    <x:row r="33" ht="30" customHeight="1">
      <x:c r="A33" s="25" t="str">
        <x:v>STORE-007</x:v>
      </x:c>
      <x:c r="B33" s="21" t="str">
        <x:v>App Store</x:v>
      </x:c>
      <x:c r="C33" s="21" t="str">
        <x:v>Export-compliance questions are answered.</x:v>
      </x:c>
      <x:c r="D33" s="27" t="str">
        <x:f>IF(COUNTIFS('Task Register'!$A$5:$A$61,A33,'Task Register'!$F$5:$F$61,"Done")&gt;0,"Done",IF(COUNTIFS('Task Register'!$A$5:$A$61,A33,'Task Register'!$F$5:$F$61,"In Progress")&gt;0,"In Progress",IF(COUNTIFS('Task Register'!$A$5:$A$61,A33,'Task Register'!$F$5:$F$61,"Needs User Info")&gt;0,"Needs User Info","Not Started")))</x:f>
        <x:v>In Progress</x:v>
      </x:c>
      <x:c r="E33" s="21" t="str">
        <x:v>export-compliance-notes.md</x:v>
      </x:c>
    </x:row>
    <x:row r="34" ht="30" customHeight="1">
      <x:c r="A34" s="25" t="str">
        <x:v>STORE-008</x:v>
      </x:c>
      <x:c r="B34" s="21" t="str">
        <x:v>App Store</x:v>
      </x:c>
      <x:c r="C34" s="21" t="str">
        <x:v>Review notes and demo access are ready, if applicable.</x:v>
      </x:c>
      <x:c r="D34" s="27" t="str">
        <x:f>IF(COUNTIFS('Task Register'!$A$5:$A$61,A34,'Task Register'!$F$5:$F$61,"Done")&gt;0,"Done",IF(COUNTIFS('Task Register'!$A$5:$A$61,A34,'Task Register'!$F$5:$F$61,"In Progress")&gt;0,"In Progress",IF(COUNTIFS('Task Register'!$A$5:$A$61,A34,'Task Register'!$F$5:$F$61,"Needs User Info")&gt;0,"Needs User Info","Not Started")))</x:f>
        <x:v>Done</x:v>
      </x:c>
      <x:c r="E34" s="21" t="str">
        <x:v>app-review-notes-draft.md</x:v>
      </x:c>
    </x:row>
    <x:row r="35" ht="30" customHeight="1">
      <x:c r="A35" s="25" t="str">
        <x:v>QA-001</x:v>
      </x:c>
      <x:c r="B35" s="21" t="str">
        <x:v>Testing</x:v>
      </x:c>
      <x:c r="C35" s="21" t="str">
        <x:v>TestFlight build has been distributed and reviewed by testers.</x:v>
      </x:c>
      <x:c r="D35" s="27" t="str">
        <x:f>IF(COUNTIFS('Task Register'!$A$5:$A$61,A35,'Task Register'!$F$5:$F$61,"Done")&gt;0,"Done",IF(COUNTIFS('Task Register'!$A$5:$A$61,A35,'Task Register'!$F$5:$F$61,"In Progress")&gt;0,"In Progress",IF(COUNTIFS('Task Register'!$A$5:$A$61,A35,'Task Register'!$F$5:$F$61,"Needs User Info")&gt;0,"Needs User Info","Not Started")))</x:f>
        <x:v>Not Started</x:v>
      </x:c>
      <x:c r="E35" s="21" t="str">
        <x:v>Update Task Register evidence here.</x:v>
      </x:c>
    </x:row>
    <x:row r="36" ht="52.79999923706055" hidden="0" customHeight="1">
      <x:c r="A36" s="25" t="str">
        <x:v>QA-002</x:v>
      </x:c>
      <x:c r="B36" s="21" t="str">
        <x:v>Testing</x:v>
      </x:c>
      <x:c r="C36" s="21" t="str">
        <x:v>Clean install and network transition tests pass.</x:v>
      </x:c>
      <x:c r="D36" s="27" t="str">
        <x:f>IF(COUNTIFS('Task Register'!$A$5:$A$61,A36,'Task Register'!$F$5:$F$61,"Done")&gt;0,"Done",IF(COUNTIFS('Task Register'!$A$5:$A$61,A36,'Task Register'!$F$5:$F$61,"In Progress")&gt;0,"In Progress",IF(COUNTIFS('Task Register'!$A$5:$A$61,A36,'Task Register'!$F$5:$F$61,"Needs User Info")&gt;0,"Needs User Info","Not Started")))</x:f>
        <x:v>In Progress</x:v>
      </x:c>
      <x:c r="E36" s="21" t="str">
        <x:v>Physical iPad clean-install/first-launch smoke; Wi-Fi-disabled cold relaunch, bundled dataset, and one-cell execution confirmed; online/offline transition and retry matrix remains</x:v>
      </x:c>
    </x:row>
    <x:row r="37" ht="39.599998474121094" hidden="0" customHeight="1">
      <x:c r="A37" s="25" t="str">
        <x:v>QA-003</x:v>
      </x:c>
      <x:c r="B37" s="21" t="str">
        <x:v>Testing</x:v>
      </x:c>
      <x:c r="C37" s="21" t="str">
        <x:v>Core routes and representative datasets pass.</x:v>
      </x:c>
      <x:c r="D37" s="27" t="str">
        <x:f>IF(COUNTIFS('Task Register'!$A$5:$A$61,A37,'Task Register'!$F$5:$F$61,"Done")&gt;0,"Done",IF(COUNTIFS('Task Register'!$A$5:$A$61,A37,'Task Register'!$F$5:$F$61,"In Progress")&gt;0,"In Progress",IF(COUNTIFS('Task Register'!$A$5:$A$61,A37,'Task Register'!$F$5:$F$61,"Needs User Info")&gt;0,"Needs User Info","Not Started")))</x:f>
        <x:v>In Progress</x:v>
      </x:c>
      <x:c r="E37" s="21" t="str">
        <x:v>tests/; .github/workflows/ml-route-audit.yml; physical iPad bundled dataset check; full representative route/dataset matrix remains</x:v>
      </x:c>
    </x:row>
    <x:row r="38" ht="30" customHeight="1">
      <x:c r="A38" s="25" t="str">
        <x:v>QA-004</x:v>
      </x:c>
      <x:c r="B38" s="21" t="str">
        <x:v>Testing</x:v>
      </x:c>
      <x:c r="C38" s="21" t="str">
        <x:v>Physical-device memory/performance checks pass.</x:v>
      </x:c>
      <x:c r="D38" s="27" t="str">
        <x:f>IF(COUNTIFS('Task Register'!$A$5:$A$61,A38,'Task Register'!$F$5:$F$61,"Done")&gt;0,"Done",IF(COUNTIFS('Task Register'!$A$5:$A$61,A38,'Task Register'!$F$5:$F$61,"In Progress")&gt;0,"In Progress",IF(COUNTIFS('Task Register'!$A$5:$A$61,A38,'Task Register'!$F$5:$F$61,"Needs User Info")&gt;0,"Needs User Info","Not Started")))</x:f>
        <x:v>Not Started</x:v>
      </x:c>
      <x:c r="E38" s="21" t="str">
        <x:v>Update Task Register evidence here.</x:v>
      </x:c>
    </x:row>
    <x:row r="39" ht="39.599998474121094" hidden="0" customHeight="1">
      <x:c r="A39" s="25" t="str">
        <x:v>QA-005</x:v>
      </x:c>
      <x:c r="B39" s="21" t="str">
        <x:v>Testing</x:v>
      </x:c>
      <x:c r="C39" s="21" t="str">
        <x:v>Background/relaunch recovery behaves correctly.</x:v>
      </x:c>
      <x:c r="D39" s="27" t="str">
        <x:f>IF(COUNTIFS('Task Register'!$A$5:$A$61,A39,'Task Register'!$F$5:$F$61,"Done")&gt;0,"Done",IF(COUNTIFS('Task Register'!$A$5:$A$61,A39,'Task Register'!$F$5:$F$61,"In Progress")&gt;0,"In Progress",IF(COUNTIFS('Task Register'!$A$5:$A$61,A39,'Task Register'!$F$5:$F$61,"Needs User Info")&gt;0,"Needs User Info","Not Started")))</x:f>
        <x:v>Done</x:v>
      </x:c>
      <x:c r="E39" s="21" t="str">
        <x:v>app/app-platform.js; ios-app-architecture.md; physical iPad background/relaunch checks confirmed</x:v>
      </x:c>
    </x:row>
    <x:row r="40" ht="30" customHeight="1">
      <x:c r="A40" s="25" t="str">
        <x:v>QA-006</x:v>
      </x:c>
      <x:c r="B40" s="21" t="str">
        <x:v>Testing</x:v>
      </x:c>
      <x:c r="C40" s="21" t="str">
        <x:v>Final privacy, accessibility, and security regression passes.</x:v>
      </x:c>
      <x:c r="D40" s="27" t="str">
        <x:f>IF(COUNTIFS('Task Register'!$A$5:$A$61,A40,'Task Register'!$F$5:$F$61,"Done")&gt;0,"Done",IF(COUNTIFS('Task Register'!$A$5:$A$61,A40,'Task Register'!$F$5:$F$61,"In Progress")&gt;0,"In Progress",IF(COUNTIFS('Task Register'!$A$5:$A$61,A40,'Task Register'!$F$5:$F$61,"Needs User Info")&gt;0,"Needs User Info","Not Started")))</x:f>
        <x:v>Not Started</x:v>
      </x:c>
      <x:c r="E40" s="21" t="str">
        <x:v>Update Task Register evidence here.</x:v>
      </x:c>
    </x:row>
    <x:row r="41" ht="30" customHeight="1">
      <x:c r="A41" s="25" t="str">
        <x:v>REL-001</x:v>
      </x:c>
      <x:c r="B41" s="21" t="str">
        <x:v>Release</x:v>
      </x:c>
      <x:c r="C41" s="21" t="str">
        <x:v>Archive uses the current Apple-required Xcode/SDK.</x:v>
      </x:c>
      <x:c r="D41" s="27" t="str">
        <x:f>IF(COUNTIFS('Task Register'!$A$5:$A$61,A41,'Task Register'!$F$5:$F$61,"Done")&gt;0,"Done",IF(COUNTIFS('Task Register'!$A$5:$A$61,A41,'Task Register'!$F$5:$F$61,"In Progress")&gt;0,"In Progress",IF(COUNTIFS('Task Register'!$A$5:$A$61,A41,'Task Register'!$F$5:$F$61,"Needs User Info")&gt;0,"Needs User Info","Not Started")))</x:f>
        <x:v>In Progress</x:v>
      </x:c>
      <x:c r="E41" s="21" t="str">
        <x:v>Xcode 26.6; iOS/iPadOS 26.5 SDK; signed Debug iPad build; release archive remains.</x:v>
      </x:c>
    </x:row>
    <x:row r="42" ht="30" customHeight="1">
      <x:c r="A42" s="25" t="str">
        <x:v>REL-002</x:v>
      </x:c>
      <x:c r="B42" s="21" t="str">
        <x:v>Release</x:v>
      </x:c>
      <x:c r="C42" s="21" t="str">
        <x:v>Build is uploaded, selected, compliant, and submitted.</x:v>
      </x:c>
      <x:c r="D42" s="27" t="str">
        <x:f>IF(COUNTIFS('Task Register'!$A$5:$A$61,A42,'Task Register'!$F$5:$F$61,"Done")&gt;0,"Done",IF(COUNTIFS('Task Register'!$A$5:$A$61,A42,'Task Register'!$F$5:$F$61,"In Progress")&gt;0,"In Progress",IF(COUNTIFS('Task Register'!$A$5:$A$61,A42,'Task Register'!$F$5:$F$61,"Needs User Info")&gt;0,"Needs User Info","Not Started")))</x:f>
        <x:v>Not Started</x:v>
      </x:c>
      <x:c r="E42" s="21" t="str">
        <x:v>Update Task Register evidence here.</x:v>
      </x:c>
    </x:row>
  </x:sheetData>
  <x:mergeCells>
    <x:mergeCell ref="A1:E1"/>
    <x:mergeCell ref="A2:E2"/>
  </x:mergeCells>
  <x:conditionalFormatting sqref="D7:D42">
    <x:cfRule type="containsText" dxfId="4" priority="1" operator="containsText" text="Done"/>
    <x:cfRule type="containsText" dxfId="5" priority="2" operator="containsText" text="Needs User Info"/>
  </x:conditionalFormatting>
  <x:pageMargins left="0.7" right="0.7" top="0.75" bottom="0.75" header="0.3" footer="0.3"/>
  <x:tableParts count="1">
    <x:tablePart xmlns:r="http://schemas.openxmlformats.org/officeDocument/2006/relationships" r:id="R701c0d569e4745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62" hidden="0" customWidth="1"/>
    <x:col min="4" max="4" width="18" hidden="0" customWidth="1"/>
    <x:col min="5" max="5" width="14" hidden="0" customWidth="1"/>
  </x:cols>
  <x:sheetData>
    <x:row r="1" ht="30" customHeight="1">
      <x:c r="A1" s="33" t="str">
        <x:v>File Map</x:v>
      </x:c>
      <x:c r="B1" s="33" t="str">
        <x:v>File Map</x:v>
      </x:c>
      <x:c r="C1" s="33" t="str">
        <x:v>File Map</x:v>
      </x:c>
      <x:c r="D1" s="33" t="str">
        <x:v>File Map</x:v>
      </x:c>
      <x:c r="E1" s="33" t="str">
        <x:v>File Map</x:v>
      </x:c>
    </x:row>
    <x:row r="2" ht="27" customHeight="1">
      <x:c r="A2" s="37" t="str">
        <x:v>Every artifact created for the iOS conversion effort, with the task that produced it.</x:v>
      </x:c>
      <x:c r="B2" s="37" t="str">
        <x:v>Every artifact created for the iOS conversion effort, with the task that produced it.</x:v>
      </x:c>
      <x:c r="C2" s="37" t="str">
        <x:v>Every artifact created for the iOS conversion effort, with the task that produced it.</x:v>
      </x:c>
      <x:c r="D2" s="37" t="str">
        <x:v>Every artifact created for the iOS conversion effort, with the task that produced it.</x:v>
      </x:c>
      <x:c r="E2" s="37" t="str">
        <x:v>Every artifact created for the iOS conversion effort, with the task that produced it.</x:v>
      </x:c>
    </x:row>
    <x:row r="4" ht="30" customHeight="1">
      <x:c r="A4" s="12" t="str">
        <x:v>File</x:v>
      </x:c>
      <x:c r="B4" s="13" t="str">
        <x:v>Type</x:v>
      </x:c>
      <x:c r="C4" s="13" t="str">
        <x:v>Purpose</x:v>
      </x:c>
      <x:c r="D4" s="13" t="str">
        <x:v>Related task</x:v>
      </x:c>
      <x:c r="E4" s="14" t="str">
        <x:v>Status</x:v>
      </x:c>
    </x:row>
    <x:row r="5" ht="34" customHeight="1">
      <x:c r="A5" s="20" t="str">
        <x:v>README.md</x:v>
      </x:c>
      <x:c r="B5" s="20" t="str">
        <x:v>Guide</x:v>
      </x:c>
      <x:c r="C5" s="20" t="str">
        <x:v>Explains the folder, workbook, status convention, and current recommendation.</x:v>
      </x:c>
      <x:c r="D5" s="26" t="str">
        <x:v>PLAN-001</x:v>
      </x:c>
      <x:c r="E5" s="26" t="str">
        <x:v>Done</x:v>
      </x:c>
    </x:row>
    <x:row r="6" ht="34" customHeight="1">
      <x:c r="A6" s="21" t="str">
        <x:v>ios-app-architecture.md</x:v>
      </x:c>
      <x:c r="B6" s="21" t="str">
        <x:v>Plan</x:v>
      </x:c>
      <x:c r="C6" s="21" t="str">
        <x:v>Records the initial native-shell architecture and release boundary.</x:v>
      </x:c>
      <x:c r="D6" s="27" t="str">
        <x:v>PLAN-002</x:v>
      </x:c>
      <x:c r="E6" s="27" t="str">
        <x:v>Done</x:v>
      </x:c>
    </x:row>
    <x:row r="7" ht="34" customHeight="1">
      <x:c r="A7" s="21" t="str">
        <x:v>web-runtime-inventory.md</x:v>
      </x:c>
      <x:c r="B7" s="21" t="str">
        <x:v>Audit</x:v>
      </x:c>
      <x:c r="C7" s="21" t="str">
        <x:v>Records current web capabilities, dependencies, and iOS conversion risks.</x:v>
      </x:c>
      <x:c r="D7" s="27" t="str">
        <x:v>PLAN-003</x:v>
      </x:c>
      <x:c r="E7" s="27" t="str">
        <x:v>Done</x:v>
      </x:c>
    </x:row>
    <x:row r="8" ht="34" customHeight="1">
      <x:c r="A8" s="21" t="str">
        <x:v>web-to-app-build-workflow.md</x:v>
      </x:c>
      <x:c r="B8" s="21" t="str">
        <x:v>Workflow</x:v>
      </x:c>
      <x:c r="C8" s="21" t="str">
        <x:v>Explains how one source tree feeds GitHub Pages and the native app build.</x:v>
      </x:c>
      <x:c r="D8" s="27" t="str">
        <x:v>TECH-003</x:v>
      </x:c>
      <x:c r="E8" s="27" t="str">
        <x:v>Done</x:v>
      </x:c>
    </x:row>
    <x:row r="9" ht="34" customHeight="1">
      <x:c r="A9" s="21" t="str">
        <x:v>privacy-policy-draft.md</x:v>
      </x:c>
      <x:c r="B9" s="21" t="str">
        <x:v>Draft</x:v>
      </x:c>
      <x:c r="C9" s="21" t="str">
        <x:v>Contains the first privacy-policy draft and publication checklist.</x:v>
      </x:c>
      <x:c r="D9" s="27" t="str">
        <x:v>PRIV-001</x:v>
      </x:c>
      <x:c r="E9" s="27" t="str">
        <x:v>In Progress</x:v>
      </x:c>
    </x:row>
    <x:row r="10" ht="34" customHeight="1">
      <x:c r="A10" s="21" t="str">
        <x:v>../privacy.html</x:v>
      </x:c>
      <x:c r="B10" s="21" t="str">
        <x:v>Site page</x:v>
      </x:c>
      <x:c r="C10" s="21" t="str">
        <x:v>Public privacy-policy page linked from the GitHub Pages home, data, and machine-learning surfaces.</x:v>
      </x:c>
      <x:c r="D10" s="27" t="str">
        <x:v>PRIV-001</x:v>
      </x:c>
      <x:c r="E10" s="27" t="str">
        <x:v>In Progress</x:v>
      </x:c>
    </x:row>
    <x:row r="11" ht="34" customHeight="1">
      <x:c r="A11" s="21" t="str">
        <x:v>ads-and-consent-plan.md</x:v>
      </x:c>
      <x:c r="B11" s="21" t="str">
        <x:v>Plan</x:v>
      </x:c>
      <x:c r="C11" s="21" t="str">
        <x:v>Records the AdMob banner-only decision, consent boundary, and interstitial guardrails.</x:v>
      </x:c>
      <x:c r="D11" s="27" t="str">
        <x:v>ADS-001</x:v>
      </x:c>
      <x:c r="E11" s="27" t="str">
        <x:v>Done</x:v>
      </x:c>
    </x:row>
    <x:row r="12" ht="34" customHeight="1">
      <x:c r="A12" s="21" t="str">
        <x:v>app-store-listing-draft.md</x:v>
      </x:c>
      <x:c r="B12" s="21" t="str">
        <x:v>Draft</x:v>
      </x:c>
      <x:c r="C12" s="21" t="str">
        <x:v>Contains first-pass App Store positioning and metadata copy.</x:v>
      </x:c>
      <x:c r="D12" s="27" t="str">
        <x:v>PLAN-004</x:v>
      </x:c>
      <x:c r="E12" s="27" t="str">
        <x:v>Done</x:v>
      </x:c>
    </x:row>
    <x:row r="13" ht="34" customHeight="1">
      <x:c r="A13" s="21" t="str">
        <x:v>app-icon-brief.md</x:v>
      </x:c>
      <x:c r="B13" s="21" t="str">
        <x:v>Brief</x:v>
      </x:c>
      <x:c r="C13" s="21" t="str">
        <x:v>Defines the initial icon direction and acceptance criteria.</x:v>
      </x:c>
      <x:c r="D13" s="27" t="str">
        <x:v>PLAN-005</x:v>
      </x:c>
      <x:c r="E13" s="27" t="str">
        <x:v>Done</x:v>
      </x:c>
    </x:row>
    <x:row r="14" ht="34" customHeight="1">
      <x:c r="A14" s="21" t="str">
        <x:v>iOS_App_Readiness_Tracker.xlsx</x:v>
      </x:c>
      <x:c r="B14" s="21" t="str">
        <x:v>Workbook</x:v>
      </x:c>
      <x:c r="C14" s="21" t="str">
        <x:v>Master task register, dashboard, release checklist, file map, and source register.</x:v>
      </x:c>
      <x:c r="D14" s="27" t="str">
        <x:v>PLAN-001</x:v>
      </x:c>
      <x:c r="E14" s="27" t="str">
        <x:v>Done</x:v>
      </x:c>
    </x:row>
    <x:row r="15" ht="42" customHeight="1">
      <x:c r="A15" s="20" t="str">
        <x:v>data-flow-audit.md</x:v>
      </x:c>
      <x:c r="B15" s="20" t="str">
        <x:v>Audit</x:v>
      </x:c>
      <x:c r="C15" s="20" t="str">
        <x:v>Documents local processing, external requests, storage, and SDK boundaries.</x:v>
      </x:c>
      <x:c r="D15" s="20" t="str">
        <x:v>PRIV-002</x:v>
      </x:c>
      <x:c r="E15" s="20" t="str">
        <x:v>Done</x:v>
      </x:c>
    </x:row>
    <x:row r="16" ht="42" customHeight="1">
      <x:c r="A16" s="21" t="str">
        <x:v>release-and-versioning.md</x:v>
      </x:c>
      <x:c r="B16" s="21" t="str">
        <x:v>Workflow</x:v>
      </x:c>
      <x:c r="C16" s="21" t="str">
        <x:v>Defines traceability, version/build numbering, and release gates.</x:v>
      </x:c>
      <x:c r="D16" s="21" t="str">
        <x:v>TECH-003</x:v>
      </x:c>
      <x:c r="E16" s="21" t="str">
        <x:v>Done</x:v>
      </x:c>
    </x:row>
    <x:row r="17" ht="42" customHeight="1">
      <x:c r="A17" s="21" t="str">
        <x:v>third-party-rights-and-licenses.md</x:v>
      </x:c>
      <x:c r="B17" s="21" t="str">
        <x:v>Audit</x:v>
      </x:c>
      <x:c r="C17" s="21" t="str">
        <x:v>Records dataset, font, Capacitor, and Python runtime rights evidence.</x:v>
      </x:c>
      <x:c r="D17" s="21" t="str">
        <x:v>PRIV-005</x:v>
      </x:c>
      <x:c r="E17" s="21" t="str">
        <x:v>In Progress</x:v>
      </x:c>
    </x:row>
    <x:row r="18" ht="42" customHeight="1">
      <x:c r="A18" s="21" t="str">
        <x:v>app-review-notes-draft.md</x:v>
      </x:c>
      <x:c r="B18" s="21" t="str">
        <x:v>Draft</x:v>
      </x:c>
      <x:c r="C18" s="21" t="str">
        <x:v>Provides a no-account reviewer path and support contact.</x:v>
      </x:c>
      <x:c r="D18" s="21" t="str">
        <x:v>STORE-008</x:v>
      </x:c>
      <x:c r="E18" s="21" t="str">
        <x:v>Done</x:v>
      </x:c>
    </x:row>
    <x:row r="19" ht="42" customHeight="1">
      <x:c r="A19" s="21" t="str">
        <x:v>export-compliance-notes.md</x:v>
      </x:c>
      <x:c r="B19" s="21" t="str">
        <x:v>Draft</x:v>
      </x:c>
      <x:c r="C19" s="21" t="str">
        <x:v>Records the working encryption/export-compliance analysis.</x:v>
      </x:c>
      <x:c r="D19" s="21" t="str">
        <x:v>STORE-007</x:v>
      </x:c>
      <x:c r="E19" s="21" t="str">
        <x:v>In Progress</x:v>
      </x:c>
    </x:row>
    <x:row r="20" ht="42" customHeight="1">
      <x:c r="A20" s="21" t="str">
        <x:v>../package.json</x:v>
      </x:c>
      <x:c r="B20" s="21" t="str">
        <x:v>Build</x:v>
      </x:c>
      <x:c r="C20" s="21" t="str">
        <x:v>Pins Capacitor dependencies and shared web/native commands.</x:v>
      </x:c>
      <x:c r="D20" s="21" t="str">
        <x:v>TECH-004</x:v>
      </x:c>
      <x:c r="E20" s="21" t="str">
        <x:v>Done</x:v>
      </x:c>
    </x:row>
    <x:row r="21" ht="42" customHeight="1">
      <x:c r="A21" s="21" t="str">
        <x:v>../capacitor.config.json</x:v>
      </x:c>
      <x:c r="B21" s="21" t="str">
        <x:v>Native config</x:v>
      </x:c>
      <x:c r="C21" s="21" t="str">
        <x:v>Defines bundle identity, web asset directory, and native shell settings.</x:v>
      </x:c>
      <x:c r="D21" s="21" t="str">
        <x:v>TECH-001</x:v>
      </x:c>
      <x:c r="E21" s="21" t="str">
        <x:v>Done</x:v>
      </x:c>
    </x:row>
    <x:row r="22" ht="42" customHeight="1">
      <x:c r="A22" s="21" t="str">
        <x:v>../ios/</x:v>
      </x:c>
      <x:c r="B22" s="21" t="str">
        <x:v>Native project</x:v>
      </x:c>
      <x:c r="C22" s="21" t="str">
        <x:v>Generated Xcode project, privacy manifest, icons, and launch assets.</x:v>
      </x:c>
      <x:c r="D22" s="21" t="str">
        <x:v>TECH-001</x:v>
      </x:c>
      <x:c r="E22" s="21" t="str">
        <x:v>Done</x:v>
      </x:c>
    </x:row>
    <x:row r="23" ht="42" customHeight="1">
      <x:c r="A23" s="21" t="str">
        <x:v>../assets/icons/</x:v>
      </x:c>
      <x:c r="B23" s="21" t="str">
        <x:v>Artwork</x:v>
      </x:c>
      <x:c r="C23" s="21" t="str">
        <x:v>Master app icon and web/iOS icon renditions.</x:v>
      </x:c>
      <x:c r="D23" s="21" t="str">
        <x:v>STORE-004</x:v>
      </x:c>
      <x:c r="E23" s="21" t="str">
        <x:v>Done</x:v>
      </x:c>
    </x:row>
    <x:row r="24" ht="42" customHeight="1">
      <x:c r="A24" s="21" t="str">
        <x:v>../acknowledgements.html</x:v>
      </x:c>
      <x:c r="B24" s="21" t="str">
        <x:v>Site page</x:v>
      </x:c>
      <x:c r="C24" s="21" t="str">
        <x:v>Publishes dataset attributions and links the exact notice manifest.</x:v>
      </x:c>
      <x:c r="D24" s="21" t="str">
        <x:v>PRIV-005</x:v>
      </x:c>
      <x:c r="E24" s="21" t="str">
        <x:v>Done</x:v>
      </x:c>
    </x:row>
    <x:row r="25" ht="42" customHeight="1">
      <x:c r="A25" s="21" t="str">
        <x:v>../assets/licenses/</x:v>
      </x:c>
      <x:c r="B25" s="21" t="str">
        <x:v>Notices</x:v>
      </x:c>
      <x:c r="C25" s="21" t="str">
        <x:v>Bundles 52 font, Capacitor, Pyodide, CPython, OpenBLAS, and wheel notices.</x:v>
      </x:c>
      <x:c r="D25" s="21" t="str">
        <x:v>PRIV-005</x:v>
      </x:c>
      <x:c r="E25" s="21" t="str">
        <x:v>Done</x:v>
      </x:c>
    </x:row>
    <x:row r="26" ht="42" customHeight="1">
      <x:c r="A26" s="21" t="str">
        <x:v>ads-and-consent-plan.md</x:v>
      </x:c>
      <x:c r="B26" s="21" t="str">
        <x:v>Decision</x:v>
      </x:c>
      <x:c r="C26" s="21" t="str">
        <x:v>Records AdMob, banner-only placement, consent, and interstitial guardrails.</x:v>
      </x:c>
      <x:c r="D26" s="21" t="str">
        <x:v>ADS-001</x:v>
      </x:c>
      <x:c r="E26" s="21" t="str">
        <x:v>Done</x:v>
      </x:c>
    </x:row>
  </x:sheetData>
  <x:mergeCells>
    <x:mergeCell ref="A1:E1"/>
    <x:mergeCell ref="A2:E2"/>
  </x:mergeCells>
  <x:conditionalFormatting sqref="E5:E14">
    <x:cfRule type="containsText" dxfId="6" priority="1" operator="containsText" text="Done"/>
  </x:conditionalFormatting>
  <x:conditionalFormatting sqref="E15:E23">
    <x:cfRule type="containsText" dxfId="7" priority="2" operator="containsText" text="Done"/>
  </x:conditionalFormatting>
  <x:conditionalFormatting sqref="E15:E26">
    <x:cfRule type="containsText" dxfId="8" priority="3" operator="containsText" text="Done"/>
    <x:cfRule type="containsText" dxfId="9" priority="4" operator="containsText" text="Done"/>
  </x:conditionalFormatting>
  <x:pageMargins left="0.7" right="0.7" top="0.75" bottom="0.75" header="0.3" footer="0.3"/>
  <x:tableParts count="1">
    <x:tablePart xmlns:r="http://schemas.openxmlformats.org/officeDocument/2006/relationships" r:id="R287892895aa14c3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38" hidden="0" customWidth="1"/>
    <x:col min="3" max="3" width="62" hidden="0" customWidth="1"/>
    <x:col min="4" max="4" width="58" hidden="0" customWidth="1"/>
    <x:col min="5" max="5" width="42" hidden="0" customWidth="1"/>
  </x:cols>
  <x:sheetData>
    <x:row r="1" ht="30" customHeight="1">
      <x:c r="A1" s="33" t="str">
        <x:v>Sources</x:v>
      </x:c>
      <x:c r="B1" s="33" t="str">
        <x:v>Sources</x:v>
      </x:c>
      <x:c r="C1" s="33" t="str">
        <x:v>Sources</x:v>
      </x:c>
      <x:c r="D1" s="33" t="str">
        <x:v>Sources</x:v>
      </x:c>
      <x:c r="E1" s="33" t="str">
        <x:v>Sources</x:v>
      </x:c>
    </x:row>
    <x:row r="2" ht="27" customHeight="1">
      <x:c r="A2" s="37" t="str">
        <x:v>Plain-text source URLs and project references used to define the tracker and acceptance criteria.</x:v>
      </x:c>
      <x:c r="B2" s="37" t="str">
        <x:v>Plain-text source URLs and project references used to define the tracker and acceptance criteria.</x:v>
      </x:c>
      <x:c r="C2" s="37" t="str">
        <x:v>Plain-text source URLs and project references used to define the tracker and acceptance criteria.</x:v>
      </x:c>
      <x:c r="D2" s="37" t="str">
        <x:v>Plain-text source URLs and project references used to define the tracker and acceptance criteria.</x:v>
      </x:c>
      <x:c r="E2" s="37" t="str">
        <x:v>Plain-text source URLs and project references used to define the tracker and acceptance criteria.</x:v>
      </x:c>
    </x:row>
    <x:row r="4" ht="30" customHeight="1">
      <x:c r="A4" s="12" t="str">
        <x:v>Ref</x:v>
      </x:c>
      <x:c r="B4" s="13" t="str">
        <x:v>Source / file</x:v>
      </x:c>
      <x:c r="C4" s="13" t="str">
        <x:v>URL / path</x:v>
      </x:c>
      <x:c r="D4" s="13" t="str">
        <x:v>Used for</x:v>
      </x:c>
      <x:c r="E4" s="14" t="str">
        <x:v>Notes</x:v>
      </x:c>
    </x:row>
    <x:row r="5" ht="36" customHeight="1">
      <x:c r="A5" s="24" t="str">
        <x:v>PROJECT</x:v>
      </x:c>
      <x:c r="B5" s="20" t="str">
        <x:v>Project README and release notes</x:v>
      </x:c>
      <x:c r="C5" s="20" t="str">
        <x:v>README.md / tests/README.md</x:v>
      </x:c>
      <x:c r="D5" s="20" t="str">
        <x:v>Current web architecture, runtime dependencies, test coverage, and deployment flow.</x:v>
      </x:c>
      <x:c r="E5" s="20" t="str">
        <x:v>Local project source.</x:v>
      </x:c>
    </x:row>
    <x:row r="6" ht="36" customHeight="1">
      <x:c r="A6" s="25" t="str">
        <x:v>CAPACITOR</x:v>
      </x:c>
      <x:c r="B6" s="21" t="str">
        <x:v>Capacitor documentation</x:v>
      </x:c>
      <x:c r="C6" s="21" t="str">
        <x:v>https://capacitorjs.com/docs</x:v>
      </x:c>
      <x:c r="D6" s="21" t="str">
        <x:v>Recommended web-first native shell route for an existing HTML/CSS/JavaScript project.</x:v>
      </x:c>
      <x:c r="E6" s="21" t="str">
        <x:v>External technical reference.</x:v>
      </x:c>
    </x:row>
    <x:row r="7" ht="36" customHeight="1">
      <x:c r="A7" s="25" t="str">
        <x:v>APPLE-MAC</x:v>
      </x:c>
      <x:c r="B7" s="21" t="str">
        <x:v>Apple: Mac Catalyst and iPad apps on Mac</x:v>
      </x:c>
      <x:c r="C7" s="21" t="str">
        <x:v>https://developer.apple.com/documentation/uikit/mac-catalyst</x:v>
      </x:c>
      <x:c r="D7" s="21" t="str">
        <x:v>Mac Catalyst validation, Mac interaction expectations, and the shared-code delivery option.</x:v>
      </x:c>
      <x:c r="E7" s="21" t="str">
        <x:v>Also review Apple-silicon Mac availability in App Store Connect.</x:v>
      </x:c>
    </x:row>
    <x:row r="8" ht="36" customHeight="1">
      <x:c r="A8" s="25" t="str">
        <x:v>APPLE-REVIEW</x:v>
      </x:c>
      <x:c r="B8" s="21" t="str">
        <x:v>Apple App Review Guidelines</x:v>
      </x:c>
      <x:c r="C8" s="21" t="str">
        <x:v>https://developer.apple.com/app-store/review/guidelines/</x:v>
      </x:c>
      <x:c r="D8" s="21" t="str">
        <x:v>Minimum functionality, completeness, review notes, login, business, and content requirements.</x:v>
      </x:c>
      <x:c r="E8" s="21" t="str">
        <x:v>Primary policy source.</x:v>
      </x:c>
    </x:row>
    <x:row r="9" ht="36" customHeight="1">
      <x:c r="A9" s="25" t="str">
        <x:v>APPLE-SUBMIT</x:v>
      </x:c>
      <x:c r="B9" s="21" t="str">
        <x:v>Apple: Submit your apps and games</x:v>
      </x:c>
      <x:c r="C9" s="21" t="str">
        <x:v>https://developer.apple.com/app-store/submitting/</x:v>
      </x:c>
      <x:c r="D9" s="21" t="str">
        <x:v>Current SDK/Xcode submission requirements and archive/upload workflow.</x:v>
      </x:c>
      <x:c r="E9" s="21" t="str">
        <x:v>As of 2026-08-31, iOS/iPadOS 26 SDK or later is required for uploads.</x:v>
      </x:c>
    </x:row>
    <x:row r="10" ht="36" customHeight="1">
      <x:c r="A10" s="25" t="str">
        <x:v>APPLE-PRIVACY</x:v>
      </x:c>
      <x:c r="B10" s="21" t="str">
        <x:v>Apple: App privacy details</x:v>
      </x:c>
      <x:c r="C10" s="21" t="str">
        <x:v>https://developer.apple.com/app-store/app-privacy-details/</x:v>
      </x:c>
      <x:c r="D10" s="21" t="str">
        <x:v>Privacy nutrition labels, third-party data collection, and required privacy URL.</x:v>
      </x:c>
      <x:c r="E10" s="21" t="str">
        <x:v>Primary privacy source.</x:v>
      </x:c>
    </x:row>
    <x:row r="11" ht="36" customHeight="1">
      <x:c r="A11" s="25" t="str">
        <x:v>APPLE-MANIFEST</x:v>
      </x:c>
      <x:c r="B11" s="21" t="str">
        <x:v>Apple: Privacy manifest files</x:v>
      </x:c>
      <x:c r="C11" s="21" t="str">
        <x:v>https://developer.apple.com/documentation/bundleresources/privacy-manifest-files</x:v>
      </x:c>
      <x:c r="D11" s="21" t="str">
        <x:v>PrivacyInfo.xcprivacy and required-reason API declarations.</x:v>
      </x:c>
      <x:c r="E11" s="21" t="str">
        <x:v>Primary technical source.</x:v>
      </x:c>
    </x:row>
    <x:row r="12" ht="36" customHeight="1">
      <x:c r="A12" s="25" t="str">
        <x:v>APPLE-ATT</x:v>
      </x:c>
      <x:c r="B12" s="21" t="str">
        <x:v>Apple: App Tracking Transparency</x:v>
      </x:c>
      <x:c r="C12" s="21" t="str">
        <x:v>https://developer.apple.com/documentation/apptrackingtransparency</x:v>
      </x:c>
      <x:c r="D12" s="21" t="str">
        <x:v>ATT requirements if cross-app/site tracking is introduced.</x:v>
      </x:c>
      <x:c r="E12" s="21" t="str">
        <x:v>Conditional source.</x:v>
      </x:c>
    </x:row>
    <x:row r="13" ht="36" customHeight="1">
      <x:c r="A13" s="25" t="str">
        <x:v>ADS-ADMOB</x:v>
      </x:c>
      <x:c r="B13" s="21" t="str">
        <x:v>Google: Mobile Ads SDK for iOS</x:v>
      </x:c>
      <x:c r="C13" s="21" t="str">
        <x:v>https://developers.google.com/admob/ios/quick-start</x:v>
      </x:c>
      <x:c r="D13" s="21" t="str">
        <x:v>Candidate ad-network integration, app ID, SDK initialization, identifiers, and ad formats.</x:v>
      </x:c>
      <x:c r="E13" s="21" t="str">
        <x:v>Selected provider for later integration; version 1 uses banner ads only.</x:v>
      </x:c>
    </x:row>
    <x:row r="14" ht="36" customHeight="1">
      <x:c r="A14" s="25" t="str">
        <x:v>ADS-CONSENT</x:v>
      </x:c>
      <x:c r="B14" s="21" t="str">
        <x:v>Google AdMob: consent management</x:v>
      </x:c>
      <x:c r="C14" s="21" t="str">
        <x:v>https://support.google.com/admob/answer/7666519?hl=en</x:v>
      </x:c>
      <x:c r="D14" s="21" t="str">
        <x:v>Regional consent, privacy options, and ad-personalisation choices.</x:v>
      </x:c>
      <x:c r="E14" s="21" t="str">
        <x:v>Review against the final provider and jurisdictions.</x:v>
      </x:c>
    </x:row>
    <x:row r="15" ht="36" customHeight="1">
      <x:c r="A15" s="25" t="str">
        <x:v>APPLE-LOGIN</x:v>
      </x:c>
      <x:c r="B15" s="21" t="str">
        <x:v>Apple App Review Guidelines — Login Services</x:v>
      </x:c>
      <x:c r="C15" s="21" t="str">
        <x:v>https://developer.apple.com/app-store/review/guidelines/</x:v>
      </x:c>
      <x:c r="D15" s="21" t="str">
        <x:v>Sign in with Apple requirement when applicable.</x:v>
      </x:c>
      <x:c r="E15" s="21" t="str">
        <x:v>Conditional policy source.</x:v>
      </x:c>
    </x:row>
    <x:row r="16" ht="36" customHeight="1">
      <x:c r="A16" s="25" t="str">
        <x:v>APPLE-DELETE</x:v>
      </x:c>
      <x:c r="B16" s="21" t="str">
        <x:v>Apple: Offering account deletion in your app</x:v>
      </x:c>
      <x:c r="C16" s="21" t="str">
        <x:v>https://developer.apple.com/support/offering-account-deletion-in-your-app/</x:v>
      </x:c>
      <x:c r="D16" s="21" t="str">
        <x:v>In-app deletion requirement when accounts exist.</x:v>
      </x:c>
      <x:c r="E16" s="21" t="str">
        <x:v>Conditional policy source.</x:v>
      </x:c>
    </x:row>
    <x:row r="17" ht="36" customHeight="1">
      <x:c r="A17" s="25" t="str">
        <x:v>APPLE-IAP</x:v>
      </x:c>
      <x:c r="B17" s="21" t="str">
        <x:v>Apple App Review Guidelines — In-App Purchase</x:v>
      </x:c>
      <x:c r="C17" s="21" t="str">
        <x:v>https://developer.apple.com/app-store/review/guidelines/</x:v>
      </x:c>
      <x:c r="D17" s="21" t="str">
        <x:v>StoreKit requirement for digital unlocks and subscriptions.</x:v>
      </x:c>
      <x:c r="E17" s="21" t="str">
        <x:v>Conditional policy source.</x:v>
      </x:c>
    </x:row>
    <x:row r="18" ht="36" customHeight="1">
      <x:c r="A18" s="25" t="str">
        <x:v>APPLE-ACCOUNT</x:v>
      </x:c>
      <x:c r="B18" s="21" t="str">
        <x:v>Apple Developer Program</x:v>
      </x:c>
      <x:c r="C18" s="21" t="str">
        <x:v>https://developer.apple.com/programs/</x:v>
      </x:c>
      <x:c r="D18" s="21" t="str">
        <x:v>Membership, signing, identity, and distribution account setup.</x:v>
      </x:c>
      <x:c r="E18" s="21" t="str">
        <x:v>Apple currently lists $99 USD per membership year.</x:v>
      </x:c>
    </x:row>
    <x:row r="19" ht="36" customHeight="1">
      <x:c r="A19" s="25" t="str">
        <x:v>APPLE-ICON</x:v>
      </x:c>
      <x:c r="B19" s="21" t="str">
        <x:v>Apple: Add an app icon</x:v>
      </x:c>
      <x:c r="C19" s="21" t="str">
        <x:v>https://developer.apple.com/help/app-store-connect/manage-app-information/add-an-app-icon</x:v>
      </x:c>
      <x:c r="D19" s="21" t="str">
        <x:v>App icon delivery through Xcode/Icon Composer and App Store Connect.</x:v>
      </x:c>
      <x:c r="E19" s="21" t="str">
        <x:v>Primary store asset source.</x:v>
      </x:c>
    </x:row>
    <x:row r="20" ht="36" customHeight="1">
      <x:c r="A20" s="25" t="str">
        <x:v>APPLE-META</x:v>
      </x:c>
      <x:c r="B20" s="21" t="str">
        <x:v>Apple: Required app properties</x:v>
      </x:c>
      <x:c r="C20" s="21" t="str">
        <x:v>https://developer.apple.com/help/app-store-connect/reference/app-information/required-localizable-and-editable-properties/</x:v>
      </x:c>
      <x:c r="D20" s="21" t="str">
        <x:v>Name, subtitle, age rating, bundle ID, categories, support URL, and version metadata.</x:v>
      </x:c>
      <x:c r="E20" s="21" t="str">
        <x:v>Primary metadata source.</x:v>
      </x:c>
    </x:row>
    <x:row r="21" ht="36" customHeight="1">
      <x:c r="A21" s="25" t="str">
        <x:v>APPLE-SCREENSHOTS</x:v>
      </x:c>
      <x:c r="B21" s="21" t="str">
        <x:v>Apple: Screenshot specifications</x:v>
      </x:c>
      <x:c r="C21" s="21" t="str">
        <x:v>https://developer.apple.com/help/app-store-connect/reference/app-information/screenshot-specifications/</x:v>
      </x:c>
      <x:c r="D21" s="21" t="str">
        <x:v>Accepted iPhone/iPad screenshot sizes and limits.</x:v>
      </x:c>
      <x:c r="E21" s="21" t="str">
        <x:v>Primary store asset source.</x:v>
      </x:c>
    </x:row>
    <x:row r="22" ht="36" customHeight="1">
      <x:c r="A22" s="25" t="str">
        <x:v>APPLE-TESTFLIGHT</x:v>
      </x:c>
      <x:c r="B22" s="21" t="str">
        <x:v>Apple: TestFlight overview</x:v>
      </x:c>
      <x:c r="C22" s="21" t="str">
        <x:v>https://developer.apple.com/help/app-store-connect/test-a-beta-version/testflight-overview</x:v>
      </x:c>
      <x:c r="D22" s="21" t="str">
        <x:v>Beta build distribution, review information, testers, and feedback.</x:v>
      </x:c>
      <x:c r="E22" s="21" t="str">
        <x:v>Primary testing source.</x:v>
      </x:c>
    </x:row>
    <x:row r="23" ht="36" customHeight="1">
      <x:c r="A23" s="25" t="str">
        <x:v>APPLE-EXPORT</x:v>
      </x:c>
      <x:c r="B23" s="21" t="str">
        <x:v>Apple: Overview of export compliance</x:v>
      </x:c>
      <x:c r="C23" s="21" t="str">
        <x:v>https://developer.apple.com/help/app-store-connect/manage-app-information/overview-of-export-compliance</x:v>
      </x:c>
      <x:c r="D23" s="21" t="str">
        <x:v>Encryption/export-compliance determination in App Store Connect.</x:v>
      </x:c>
      <x:c r="E23" s="21" t="str">
        <x:v>Primary compliance source.</x:v>
      </x:c>
    </x:row>
    <x:row r="24" ht="36" customHeight="1">
      <x:c r="A24" s="25" t="str">
        <x:v>APPLE-QA</x:v>
      </x:c>
      <x:c r="B24" s="21" t="str">
        <x:v>Apple: App Review Guidelines — completeness</x:v>
      </x:c>
      <x:c r="C24" s="21" t="str">
        <x:v>https://developer.apple.com/app-store/review/guidelines/</x:v>
      </x:c>
      <x:c r="D24" s="21" t="str">
        <x:v>On-device testing, functional URLs, no placeholders, stable builds, and review readiness.</x:v>
      </x:c>
      <x:c r="E24" s="21" t="str">
        <x:v>Primary QA/policy source.</x:v>
      </x:c>
    </x:row>
    <x:row r="25" ht="36" customHeight="1">
      <x:c r="A25" s="25" t="str">
        <x:v>APPLE-RIGHTS</x:v>
      </x:c>
      <x:c r="B25" s="21" t="str">
        <x:v>Apple App Review Guidelines — intellectual property/content rights</x:v>
      </x:c>
      <x:c r="C25" s="21" t="str">
        <x:v>https://developer.apple.com/app-store/review/guidelines/</x:v>
      </x:c>
      <x:c r="D25" s="21" t="str">
        <x:v>Rights and permissions for third-party content and bundled data.</x:v>
      </x:c>
      <x:c r="E25" s="21" t="str">
        <x:v>Primary rights source.</x:v>
      </x:c>
    </x:row>
  </x:sheetData>
  <x:mergeCells>
    <x:mergeCell ref="A1:E1"/>
    <x:mergeCell ref="A2:E2"/>
  </x:mergeCells>
  <x:pageMargins left="0.7" right="0.7" top="0.75" bottom="0.75" header="0.3" footer="0.3"/>
  <x:tableParts count="1">
    <x:tablePart xmlns:r="http://schemas.openxmlformats.org/officeDocument/2006/relationships" r:id="R00e9075135c54f18"/>
  </x:tableParts>
</x:worksheet>
</file>